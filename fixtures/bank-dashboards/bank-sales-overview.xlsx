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Raw_Monthly" sheetId="2" r:id="rId2"/>
    <sheet name="Raw_Products" sheetId="3" r:id="rId3"/>
    <sheet name="Raw_Branches" sheetId="4" r:id="rId4"/>
    <sheet name="Model_Guide" sheetId="5" r:id="rId5"/>
  </sheets>
  <definedNames>
    <definedName name="sales_branches_Active_Advisors">'Raw_Branches'!$I$2:INDEX('Raw_Branches'!$I:$I,COUNTA('Raw_Branches'!$A:$A))</definedName>
    <definedName name="sales_branches_Attainment_Rate">'Raw_Branches'!$H$2:INDEX('Raw_Branches'!$H:$H,COUNTA('Raw_Branches'!$A:$A))</definedName>
    <definedName name="sales_branches_Branch">'Raw_Branches'!$B$2:INDEX('Raw_Branches'!$B:$B,COUNTA('Raw_Branches'!$A:$A))</definedName>
    <definedName name="sales_branches_Branch_ID">'Raw_Branches'!$A$2:INDEX('Raw_Branches'!$A:$A,COUNTA('Raw_Branches'!$A:$A))</definedName>
    <definedName name="sales_branches_Credit_Sales">'Raw_Branches'!$E$2:INDEX('Raw_Branches'!$E:$E,COUNTA('Raw_Branches'!$A:$A))</definedName>
    <definedName name="sales_branches_Region">'Raw_Branches'!$C$2:INDEX('Raw_Branches'!$C:$C,COUNTA('Raw_Branches'!$A:$A))</definedName>
    <definedName name="sales_branches_ROR_Sales">'Raw_Branches'!$D$2:INDEX('Raw_Branches'!$D:$D,COUNTA('Raw_Branches'!$A:$A))</definedName>
    <definedName name="sales_branches_Target_PLN">'Raw_Branches'!$G$2:INDEX('Raw_Branches'!$G:$G,COUNTA('Raw_Branches'!$A:$A))</definedName>
    <definedName name="sales_branches_Total_Volume_PLN">'Raw_Branches'!$F$2:INDEX('Raw_Branches'!$F:$F,COUNTA('Raw_Branches'!$A:$A))</definedName>
    <definedName name="sales_monthly_Active_Campaigns">'Raw_Monthly'!$F$2:INDEX('Raw_Monthly'!$F:$F,COUNTA('Raw_Monthly'!$A:$A))</definedName>
    <definedName name="sales_monthly_Conversion_Rate">'Raw_Monthly'!$G$2:INDEX('Raw_Monthly'!$G:$G,COUNTA('Raw_Monthly'!$A:$A))</definedName>
    <definedName name="sales_monthly_Credit_Applications">'Raw_Monthly'!$C$2:INDEX('Raw_Monthly'!$C:$C,COUNTA('Raw_Monthly'!$A:$A))</definedName>
    <definedName name="sales_monthly_Credit_Sales">'Raw_Monthly'!$D$2:INDEX('Raw_Monthly'!$D:$D,COUNTA('Raw_Monthly'!$A:$A))</definedName>
    <definedName name="sales_monthly_Credit_Volume_PLN">'Raw_Monthly'!$E$2:INDEX('Raw_Monthly'!$E:$E,COUNTA('Raw_Monthly'!$A:$A))</definedName>
    <definedName name="sales_monthly_Month">'Raw_Monthly'!$A$2:INDEX('Raw_Monthly'!$A:$A,COUNTA('Raw_Monthly'!$A:$A))</definedName>
    <definedName name="sales_monthly_New_ROR_Accounts">'Raw_Monthly'!$B$2:INDEX('Raw_Monthly'!$B:$B,COUNTA('Raw_Monthly'!$A:$A))</definedName>
    <definedName name="sales_products_Applications">'Raw_Products'!$C$2:INDEX('Raw_Products'!$C:$C,COUNTA('Raw_Products'!$A:$A))</definedName>
    <definedName name="sales_products_Approved">'Raw_Products'!$D$2:INDEX('Raw_Products'!$D:$D,COUNTA('Raw_Products'!$A:$A))</definedName>
    <definedName name="sales_products_Category">'Raw_Products'!$B$2:INDEX('Raw_Products'!$B:$B,COUNTA('Raw_Products'!$A:$A))</definedName>
    <definedName name="sales_products_Product">'Raw_Products'!$A$2:INDEX('Raw_Products'!$A:$A,COUNTA('Raw_Products'!$A:$A))</definedName>
    <definedName name="sales_products_Share_of_Sales">'Raw_Products'!$G$2:INDEX('Raw_Products'!$G:$G,COUNTA('Raw_Products'!$A:$A))</definedName>
    <definedName name="sales_products_Sold">'Raw_Products'!$E$2:INDEX('Raw_Products'!$E:$E,COUNTA('Raw_Products'!$A:$A))</definedName>
    <definedName name="sales_products_Volume_PLN">'Raw_Products'!$F$2:INDEX('Raw_Products'!$F:$F,COUNTA('Raw_Products'!$A:$A))</definedName>
  </definedNames>
  <calcPr calcId="124519" fullCalcOnLoad="1"/>
</workbook>
</file>

<file path=xl/sharedStrings.xml><?xml version="1.0" encoding="utf-8"?>
<sst xmlns="http://schemas.openxmlformats.org/spreadsheetml/2006/main" count="205" uniqueCount="101">
  <si>
    <t>BANKING SALES DASHBOARD</t>
  </si>
  <si>
    <t>ROR acquisition • credit sales • product mix • branch target attainment | synthetic 2025 model</t>
  </si>
  <si>
    <t>Refresh contract: replace only Raw_* tabs with %EXPORT(update=true); formulas and charts stay in the presentation layer.</t>
  </si>
  <si>
    <t>Month</t>
  </si>
  <si>
    <t>New_ROR_Accounts</t>
  </si>
  <si>
    <t>Credit_Applications</t>
  </si>
  <si>
    <t>Credit_Sales</t>
  </si>
  <si>
    <t>Credit_Volume_PLN</t>
  </si>
  <si>
    <t>Active_Campaigns</t>
  </si>
  <si>
    <t>Conversion_Rate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</si>
  <si>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</si>
  <si>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</si>
  <si>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</si>
  <si>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</si>
  <si>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</si>
  <si>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</si>
  <si>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</si>
  <si>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</si>
  <si>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</si>
  <si>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</si>
  <si>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</si>
  <si>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</si>
  <si>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Product</t>
  </si>
  <si>
    <t>Category</t>
  </si>
  <si>
    <t>Applications</t>
  </si>
  <si>
    <t>Approved</t>
  </si>
  <si>
    <t>Sold</t>
  </si>
  <si>
    <t>Volume_PLN</t>
  </si>
  <si>
    <t>Share_of_Sales</t>
  </si>
  <si>
    <t>ROR Account</t>
  </si>
  <si>
    <t>Current account</t>
  </si>
  <si>
    <t>Cash Loan</t>
  </si>
  <si>
    <t>Consumer credit</t>
  </si>
  <si>
    <t>Credit Card</t>
  </si>
  <si>
    <t>Cards</t>
  </si>
  <si>
    <t>Mortgage</t>
  </si>
  <si>
    <t>Housing</t>
  </si>
  <si>
    <t>Auto Loan</t>
  </si>
  <si>
    <t>SME Loan</t>
  </si>
  <si>
    <t>Business</t>
  </si>
  <si>
    <t>Branch_ID</t>
  </si>
  <si>
    <t>Branch</t>
  </si>
  <si>
    <t>Region</t>
  </si>
  <si>
    <t>ROR_Sales</t>
  </si>
  <si>
    <t>Total_Volume_PLN</t>
  </si>
  <si>
    <t>Target_PLN</t>
  </si>
  <si>
    <t>Attainment_Rate</t>
  </si>
  <si>
    <t>Active_Advisors</t>
  </si>
  <si>
    <t>B001</t>
  </si>
  <si>
    <t>Warsaw Central</t>
  </si>
  <si>
    <t>Central</t>
  </si>
  <si>
    <t>B002</t>
  </si>
  <si>
    <t>Warsaw Mokotow</t>
  </si>
  <si>
    <t>B003</t>
  </si>
  <si>
    <t>Krakow Main</t>
  </si>
  <si>
    <t>South</t>
  </si>
  <si>
    <t>B004</t>
  </si>
  <si>
    <t>Wroclaw Market</t>
  </si>
  <si>
    <t>West</t>
  </si>
  <si>
    <t>B005</t>
  </si>
  <si>
    <t>Poznan Center</t>
  </si>
  <si>
    <t>B006</t>
  </si>
  <si>
    <t>Gdansk Old Town</t>
  </si>
  <si>
    <t>North</t>
  </si>
  <si>
    <t>B007</t>
  </si>
  <si>
    <t>Lodz Piotrkowska</t>
  </si>
  <si>
    <t>B008</t>
  </si>
  <si>
    <t>Katowice Silesia</t>
  </si>
  <si>
    <t>New ROR accounts</t>
  </si>
  <si>
    <t>Source: Raw_Monthly</t>
  </si>
  <si>
    <t>Credit sales</t>
  </si>
  <si>
    <t>Credit volume</t>
  </si>
  <si>
    <t>Average conversion</t>
  </si>
  <si>
    <t>MONTHLY SALES TREND</t>
  </si>
  <si>
    <t>ROR accounts</t>
  </si>
  <si>
    <t>Volume PLN</t>
  </si>
  <si>
    <t>PRODUCT RANKING</t>
  </si>
  <si>
    <t>Share</t>
  </si>
  <si>
    <t>BRANCH TARGET ATTAINMENT</t>
  </si>
  <si>
    <t>ID</t>
  </si>
  <si>
    <t>Target PLN</t>
  </si>
  <si>
    <t>Attainment</t>
  </si>
  <si>
    <t>SALES OVERVIEW | MODEL GUIDE</t>
  </si>
  <si>
    <t>Purpose</t>
  </si>
  <si>
    <t>A documentation fixture for refreshable reporting with @justybase/spreadsheet-tasks.</t>
  </si>
  <si>
    <t>Raw tab</t>
  </si>
  <si>
    <t>Table</t>
  </si>
  <si>
    <t>Replacement contract</t>
  </si>
  <si>
    <t>Raw_Monthly</t>
  </si>
  <si>
    <t>tblSalesMonthly</t>
  </si>
  <si>
    <t>Month, New_ROR_Accounts, Credit_Applications, Credit_Sales, Credit_Volume_PLN, Active_Campaigns, Conversion_Rate</t>
  </si>
  <si>
    <t>Raw_Products</t>
  </si>
  <si>
    <t>tblSalesProducts</t>
  </si>
  <si>
    <t>Product, Category, Applications, Approved, Sold, Volume_PLN, Share_of_Sales</t>
  </si>
  <si>
    <t>Raw_Branches</t>
  </si>
  <si>
    <t>tblSalesBranches</t>
  </si>
  <si>
    <t>Branch_ID, Branch, Region, ROR_Sales, Credit_Sales, Total_Volume_PLN, Target_PLN, Attainment_Rate, Active_Advisors</t>
  </si>
  <si>
    <t>Update example</t>
  </si>
  <si>
    <t>%EXPORT(format='xlsx', file='/reports/bank-sales-overview.xlsx', sheet='Raw_Monthly', query=(SELECT ...), update=true);</t>
  </si>
  <si>
    <t>Design notes</t>
  </si>
  <si>
    <t>Dashboard formulas use Excel table references and charts use dynamic workbook names. The updater replaces a raw sheet, updates its table range, and preserves the other sheets and dashboard drawing. Open in desktop Excel to recalculate formulas and refresh any external PivotTable caches.</t>
  </si>
</sst>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#,##0"/>
  </numFmts>
  <fonts count="1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sz val="9"/>
      <color rgb="FF60758A"/>
      <name val="Calibri"/>
      <family val="2"/>
      <scheme val="minor"/>
    </font>
    <font>
      <b/>
      <sz val="9"/>
      <color rgb="FF60758A"/>
      <name val="Calibri"/>
      <family val="2"/>
      <scheme val="minor"/>
    </font>
    <font>
      <b/>
      <sz val="17"/>
      <color rgb="FF163B65"/>
      <name val="Calibri"/>
      <family val="2"/>
      <scheme val="minor"/>
    </font>
    <font>
      <b/>
      <sz val="15"/>
      <color rgb="FF1F7A54"/>
      <name val="Calibri"/>
      <family val="2"/>
      <scheme val="minor"/>
    </font>
    <font>
      <b/>
      <sz val="17"/>
      <color rgb="FF1F7A5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F2937"/>
      <name val="Calibri"/>
      <family val="2"/>
      <scheme val="minor"/>
    </font>
    <font>
      <sz val="11"/>
      <color rgb="FF163B65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63B65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47D92"/>
        <bgColor indexed="64"/>
      </patternFill>
    </fill>
  </fills>
  <borders count="2">
    <border>
      <left/>
      <right/>
      <top/>
      <bottom/>
      <diagonal/>
    </border>
    <border>
      <left style="thin">
        <color rgb="FFD6E0EB"/>
      </left>
      <right style="thin">
        <color rgb="FFD6E0EB"/>
      </right>
      <top style="thin">
        <color rgb="FFD6E0EB"/>
      </top>
      <bottom style="thin">
        <color rgb="FFD6E0E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9" fillId="5" borderId="0" xfId="0" applyFont="1" applyFill="1"/>
    <xf numFmtId="166" fontId="9" fillId="5" borderId="0" xfId="0" applyNumberFormat="1" applyFont="1" applyFill="1"/>
    <xf numFmtId="164" fontId="9" fillId="5" borderId="0" xfId="0" applyNumberFormat="1" applyFont="1" applyFill="1"/>
    <xf numFmtId="165" fontId="9" fillId="5" borderId="0" xfId="0" applyNumberFormat="1" applyFont="1" applyFill="1"/>
    <xf numFmtId="0" fontId="9" fillId="0" borderId="0" xfId="0" applyFont="1"/>
    <xf numFmtId="166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0" fontId="8" fillId="2" borderId="0" xfId="0" applyFont="1" applyFill="1"/>
    <xf numFmtId="0" fontId="9" fillId="0" borderId="0" xfId="0" applyFont="1" applyAlignment="1">
      <alignment vertical="top" wrapText="1"/>
    </xf>
    <xf numFmtId="0" fontId="10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163B65"/>
                </a:solidFill>
              </a:defRPr>
            </a:pPr>
            <a:r>
              <a:rPr lang="en-US" sz="1200" b="1" baseline="0">
                <a:solidFill>
                  <a:srgbClr val="163B65"/>
                </a:solidFill>
              </a:rPr>
              <a:t>Monthly credit sales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Credit sales</c:v>
          </c:tx>
          <c:spPr>
            <a:ln w="31750">
              <a:solidFill>
                <a:srgbClr val="2F75B5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2F75B5"/>
                </a:solidFill>
              </a:ln>
            </c:spPr>
          </c:marker>
          <c:cat>
            <c:strRef>
              <c:f>sales_monthly_Month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sales_monthly_Credit_Sales</c:f>
              <c:numCache>
                <c:formatCode>General</c:formatCode>
                <c:ptCount val="12"/>
                <c:pt idx="0">
                  <c:v>142</c:v>
                </c:pt>
                <c:pt idx="1">
                  <c:v>151</c:v>
                </c:pt>
                <c:pt idx="2">
                  <c:v>168</c:v>
                </c:pt>
                <c:pt idx="3">
                  <c:v>159</c:v>
                </c:pt>
                <c:pt idx="4">
                  <c:v>177</c:v>
                </c:pt>
                <c:pt idx="5">
                  <c:v>192</c:v>
                </c:pt>
                <c:pt idx="6">
                  <c:v>185</c:v>
                </c:pt>
                <c:pt idx="7">
                  <c:v>201</c:v>
                </c:pt>
                <c:pt idx="8">
                  <c:v>214</c:v>
                </c:pt>
                <c:pt idx="9">
                  <c:v>226</c:v>
                </c:pt>
                <c:pt idx="10">
                  <c:v>241</c:v>
                </c:pt>
                <c:pt idx="11">
                  <c:v>268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#,##0" sourceLinked="0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solidFill>
            <a:srgbClr val="D6E0EB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163B65"/>
                </a:solidFill>
              </a:defRPr>
            </a:pPr>
            <a:r>
              <a:rPr lang="en-US" sz="1200" b="1" baseline="0">
                <a:solidFill>
                  <a:srgbClr val="163B65"/>
                </a:solidFill>
              </a:rPr>
              <a:t>Product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 PLN</c:v>
          </c:tx>
          <c:spPr>
            <a:solidFill>
              <a:srgbClr val="1F7A54"/>
            </a:solidFill>
            <a:ln>
              <a:noFill/>
            </a:ln>
          </c:spPr>
          <c:dLbls/>
          <c:cat>
            <c:strRef>
              <c:f>sales_products_Product</c:f>
              <c:strCache>
                <c:ptCount val="6"/>
                <c:pt idx="0">
                  <c:v>ROR Account</c:v>
                </c:pt>
                <c:pt idx="1">
                  <c:v>Cash Loan</c:v>
                </c:pt>
                <c:pt idx="2">
                  <c:v>Credit Card</c:v>
                </c:pt>
                <c:pt idx="3">
                  <c:v>Mortgage</c:v>
                </c:pt>
                <c:pt idx="4">
                  <c:v>Auto Loan</c:v>
                </c:pt>
                <c:pt idx="5">
                  <c:v>SME Loan</c:v>
                </c:pt>
              </c:strCache>
            </c:strRef>
          </c:cat>
          <c:val>
            <c:numRef>
              <c:f>sales_products_Volume_PLN</c:f>
              <c:numCache>
                <c:formatCode>General</c:formatCode>
                <c:ptCount val="6"/>
                <c:pt idx="0">
                  <c:v>0</c:v>
                </c:pt>
                <c:pt idx="1">
                  <c:v>8820000</c:v>
                </c:pt>
                <c:pt idx="2">
                  <c:v>1644000</c:v>
                </c:pt>
                <c:pt idx="3">
                  <c:v>38400000</c:v>
                </c:pt>
                <c:pt idx="4">
                  <c:v>7280000</c:v>
                </c:pt>
                <c:pt idx="5">
                  <c:v>11600000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numFmt formatCode="#,##0,,&quot;m PLN&quot;" sourceLinked="0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solidFill>
            <a:srgbClr val="D6E0EB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163B65"/>
                </a:solidFill>
              </a:defRPr>
            </a:pPr>
            <a:r>
              <a:rPr lang="en-US" sz="1200" b="1" baseline="0">
                <a:solidFill>
                  <a:srgbClr val="163B65"/>
                </a:solidFill>
              </a:rPr>
              <a:t>Branch target attainment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Attainment</c:v>
          </c:tx>
          <c:spPr>
            <a:solidFill>
              <a:srgbClr val="E8892F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sales_branches_Branch</c:f>
              <c:strCache>
                <c:ptCount val="8"/>
                <c:pt idx="0">
                  <c:v>Warsaw Central</c:v>
                </c:pt>
                <c:pt idx="1">
                  <c:v>Warsaw Mokotow</c:v>
                </c:pt>
                <c:pt idx="2">
                  <c:v>Krakow Main</c:v>
                </c:pt>
                <c:pt idx="3">
                  <c:v>Wroclaw Market</c:v>
                </c:pt>
                <c:pt idx="4">
                  <c:v>Poznan Center</c:v>
                </c:pt>
                <c:pt idx="5">
                  <c:v>Gdansk Old Town</c:v>
                </c:pt>
                <c:pt idx="6">
                  <c:v>Lodz Piotrkowska</c:v>
                </c:pt>
                <c:pt idx="7">
                  <c:v>Katowice Silesia</c:v>
                </c:pt>
              </c:strCache>
            </c:strRef>
          </c:cat>
          <c:val>
            <c:numRef>
              <c:f>sales_branches_Attainment_Rate</c:f>
              <c:numCache>
                <c:formatCode>General</c:formatCode>
                <c:ptCount val="8"/>
                <c:pt idx="0">
                  <c:v>1.08</c:v>
                </c:pt>
                <c:pt idx="1">
                  <c:v>1.076</c:v>
                </c:pt>
                <c:pt idx="2">
                  <c:v>1.048</c:v>
                </c:pt>
                <c:pt idx="3">
                  <c:v>0.971</c:v>
                </c:pt>
                <c:pt idx="4">
                  <c:v>0.959</c:v>
                </c:pt>
                <c:pt idx="5">
                  <c:v>1.031</c:v>
                </c:pt>
                <c:pt idx="6">
                  <c:v>0.922</c:v>
                </c:pt>
                <c:pt idx="7">
                  <c:v>0.938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numFmt formatCode="0%" sourceLinked="0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solidFill>
            <a:srgbClr val="D6E0EB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16</xdr:row>
      <xdr:rowOff>0</xdr:rowOff>
    </xdr:from>
    <xdr:to>
      <xdr:col>10</xdr:col>
      <xdr:colOff>257175</xdr:colOff>
      <xdr:row>29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10</xdr:col>
      <xdr:colOff>257175</xdr:colOff>
      <xdr:row>44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10</xdr:col>
      <xdr:colOff>257175</xdr:colOff>
      <xdr:row>59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SalesTrend" displayName="tblSalesTrend" ref="A10:D22" totalsRowShown="0">
  <autoFilter ref="A10:D22"/>
  <tableColumns count="4">
    <tableColumn id="1" name="Month"/>
    <tableColumn id="2" name="ROR accounts"/>
    <tableColumn id="3" name="Credit sales"/>
    <tableColumn id="4" name="Volume PL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SalesProductView" displayName="tblSalesProductView" ref="G10:K16" totalsRowShown="0">
  <autoFilter ref="G10:K16"/>
  <tableColumns count="5">
    <tableColumn id="1" name="Product"/>
    <tableColumn id="2" name="Category"/>
    <tableColumn id="3" name="Sold"/>
    <tableColumn id="4" name="Volume PLN"/>
    <tableColumn id="5" name="Shar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SalesBranchView" displayName="tblSalesBranchView" ref="A25:F33" totalsRowShown="0">
  <autoFilter ref="A25:F33"/>
  <tableColumns count="6">
    <tableColumn id="1" name="ID"/>
    <tableColumn id="2" name="Branch"/>
    <tableColumn id="3" name="Region"/>
    <tableColumn id="4" name="Volume PLN"/>
    <tableColumn id="5" name="Target PLN"/>
    <tableColumn id="6" name="Attainm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SalesMonthly" displayName="tblSalesMonthly" ref="A1:G13" totalsRowShown="0">
  <autoFilter ref="A1:G13"/>
  <tableColumns count="7">
    <tableColumn id="1" name="Month"/>
    <tableColumn id="2" name="New_ROR_Accounts"/>
    <tableColumn id="3" name="Credit_Applications"/>
    <tableColumn id="4" name="Credit_Sales"/>
    <tableColumn id="5" name="Credit_Volume_PLN"/>
    <tableColumn id="6" name="Active_Campaigns"/>
    <tableColumn id="7" name="Conversion_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alesProducts" displayName="tblSalesProducts" ref="A1:G7" totalsRowShown="0">
  <autoFilter ref="A1:G7"/>
  <tableColumns count="7">
    <tableColumn id="1" name="Product"/>
    <tableColumn id="2" name="Category"/>
    <tableColumn id="3" name="Applications"/>
    <tableColumn id="4" name="Approved"/>
    <tableColumn id="5" name="Sold"/>
    <tableColumn id="6" name="Volume_PLN"/>
    <tableColumn id="7" name="Share_of_S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alesBranches" displayName="tblSalesBranches" ref="A1:I9" totalsRowShown="0">
  <autoFilter ref="A1:I9"/>
  <tableColumns count="9">
    <tableColumn id="1" name="Branch_ID"/>
    <tableColumn id="2" name="Branch"/>
    <tableColumn id="3" name="Region"/>
    <tableColumn id="4" name="ROR_Sales"/>
    <tableColumn id="5" name="Credit_Sales"/>
    <tableColumn id="6" name="Total_Volume_PLN"/>
    <tableColumn id="7" name="Target_PLN"/>
    <tableColumn id="8" name="Attainment_Rate"/>
    <tableColumn id="9" name="Active_Adviso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3B65"/>
    <pageSetUpPr fitToPage="1"/>
  </sheetPr>
  <dimension ref="A1:N33"/>
  <sheetViews>
    <sheetView showGridLines="0" tabSelected="1" workbookViewId="0"/>
  </sheetViews>
  <sheetFormatPr defaultRowHeight="15"/>
  <cols>
    <col min="1" max="1" width="23.7109375" customWidth="1"/>
    <col min="2" max="4" width="17.7109375" customWidth="1"/>
    <col min="5" max="5" width="3.7109375" customWidth="1"/>
    <col min="6" max="6" width="18.7109375" customWidth="1"/>
    <col min="7" max="14" width="14.7109375" customWidth="1"/>
  </cols>
  <sheetData>
    <row r="1" spans="1:14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68</v>
      </c>
      <c r="B4" s="4"/>
      <c r="C4" s="4"/>
      <c r="D4" s="4" t="s">
        <v>70</v>
      </c>
      <c r="E4" s="4"/>
      <c r="F4" s="4"/>
      <c r="G4" s="4" t="s">
        <v>71</v>
      </c>
      <c r="H4" s="4"/>
      <c r="I4" s="4"/>
      <c r="K4" s="4" t="s">
        <v>72</v>
      </c>
      <c r="L4" s="4"/>
      <c r="M4" s="4"/>
    </row>
    <row r="5" spans="1:14">
      <c r="A5" s="5">
        <f>SUM(tblSalesMonthly[New_ROR_Accounts])</f>
        <v>6131.0</v>
      </c>
      <c r="B5" s="5"/>
      <c r="C5" s="5"/>
      <c r="D5" s="5">
        <f>SUM(tblSalesMonthly[Credit_Sales])</f>
        <v>2324.0</v>
      </c>
      <c r="E5" s="5"/>
      <c r="F5" s="5"/>
      <c r="G5" s="6">
        <f>SUM(tblSalesMonthly[Credit_Volume_PLN])</f>
        <v>77000000.0</v>
      </c>
      <c r="H5" s="5"/>
      <c r="I5" s="5"/>
      <c r="K5" s="7">
        <f>AVERAGE(tblSalesMonthly[Conversion_Rate])</f>
        <v>0.4956666666666667</v>
      </c>
      <c r="L5" s="5"/>
      <c r="M5" s="5"/>
    </row>
    <row r="6" spans="1:14">
      <c r="A6" s="5"/>
      <c r="B6" s="5"/>
      <c r="C6" s="5"/>
      <c r="D6" s="5"/>
      <c r="E6" s="5"/>
      <c r="F6" s="5"/>
      <c r="G6" s="5"/>
      <c r="H6" s="5"/>
      <c r="I6" s="5"/>
      <c r="K6" s="5"/>
      <c r="L6" s="5"/>
      <c r="M6" s="5"/>
    </row>
    <row r="7" spans="1:14">
      <c r="A7" s="3" t="s">
        <v>69</v>
      </c>
      <c r="B7" s="3"/>
      <c r="C7" s="3"/>
      <c r="D7" s="3" t="s">
        <v>69</v>
      </c>
      <c r="E7" s="3"/>
      <c r="F7" s="3"/>
      <c r="G7" s="3" t="s">
        <v>69</v>
      </c>
      <c r="H7" s="3"/>
      <c r="I7" s="3"/>
      <c r="K7" s="3" t="s">
        <v>69</v>
      </c>
      <c r="L7" s="3"/>
      <c r="M7" s="3"/>
    </row>
    <row r="9" spans="1:14">
      <c r="A9" s="8" t="s">
        <v>73</v>
      </c>
      <c r="B9" s="8"/>
      <c r="C9" s="8"/>
      <c r="D9" s="8"/>
      <c r="G9" s="8" t="s">
        <v>76</v>
      </c>
      <c r="H9" s="8"/>
      <c r="I9" s="8"/>
      <c r="J9" s="8"/>
      <c r="K9" s="8"/>
      <c r="L9" s="8"/>
      <c r="M9" s="8"/>
      <c r="N9" s="8"/>
    </row>
    <row r="10" spans="1:14">
      <c r="A10" t="s">
        <v>3</v>
      </c>
      <c r="B10" t="s">
        <v>74</v>
      </c>
      <c r="C10" t="s">
        <v>70</v>
      </c>
      <c r="D10" t="s">
        <v>75</v>
      </c>
      <c r="G10" t="s">
        <v>22</v>
      </c>
      <c r="H10" t="s">
        <v>23</v>
      </c>
      <c r="I10" t="s">
        <v>26</v>
      </c>
      <c r="J10" t="s">
        <v>75</v>
      </c>
      <c r="K10" t="s">
        <v>77</v>
      </c>
    </row>
    <row r="11" spans="1:14">
      <c r="A11" s="9" t="s">
        <v>10</v>
      </c>
      <c r="B11" s="10">
        <v>420</v>
      </c>
      <c r="C11" s="10">
        <v>142</v>
      </c>
      <c r="D11" s="11">
        <v>4650000</v>
      </c>
      <c r="G11" s="9" t="s">
        <v>29</v>
      </c>
      <c r="H11" s="9" t="s">
        <v>30</v>
      </c>
      <c r="I11" s="10">
        <v>1496</v>
      </c>
      <c r="J11" s="11">
        <v>0</v>
      </c>
      <c r="K11" s="12">
        <v>0.259</v>
      </c>
    </row>
    <row r="12" spans="1:14">
      <c r="A12" s="9" t="s">
        <v>11</v>
      </c>
      <c r="B12" s="10">
        <v>438</v>
      </c>
      <c r="C12" s="10">
        <v>151</v>
      </c>
      <c r="D12" s="11">
        <v>4920000</v>
      </c>
      <c r="G12" s="9" t="s">
        <v>31</v>
      </c>
      <c r="H12" s="9" t="s">
        <v>32</v>
      </c>
      <c r="I12" s="10">
        <v>664</v>
      </c>
      <c r="J12" s="11">
        <v>8820000</v>
      </c>
      <c r="K12" s="12">
        <v>0.276</v>
      </c>
    </row>
    <row r="13" spans="1:14">
      <c r="A13" s="9" t="s">
        <v>12</v>
      </c>
      <c r="B13" s="10">
        <v>470</v>
      </c>
      <c r="C13" s="10">
        <v>168</v>
      </c>
      <c r="D13" s="11">
        <v>5480000</v>
      </c>
      <c r="G13" s="9" t="s">
        <v>33</v>
      </c>
      <c r="H13" s="9" t="s">
        <v>34</v>
      </c>
      <c r="I13" s="10">
        <v>548</v>
      </c>
      <c r="J13" s="11">
        <v>1644000</v>
      </c>
      <c r="K13" s="12">
        <v>0.228</v>
      </c>
    </row>
    <row r="14" spans="1:14">
      <c r="A14" s="9" t="s">
        <v>13</v>
      </c>
      <c r="B14" s="10">
        <v>455</v>
      </c>
      <c r="C14" s="10">
        <v>159</v>
      </c>
      <c r="D14" s="11">
        <v>5190000</v>
      </c>
      <c r="G14" s="9" t="s">
        <v>35</v>
      </c>
      <c r="H14" s="9" t="s">
        <v>36</v>
      </c>
      <c r="I14" s="10">
        <v>142</v>
      </c>
      <c r="J14" s="11">
        <v>38400000</v>
      </c>
      <c r="K14" s="12">
        <v>0.059</v>
      </c>
    </row>
    <row r="15" spans="1:14">
      <c r="A15" s="9" t="s">
        <v>14</v>
      </c>
      <c r="B15" s="10">
        <v>486</v>
      </c>
      <c r="C15" s="10">
        <v>177</v>
      </c>
      <c r="D15" s="11">
        <v>5740000</v>
      </c>
      <c r="G15" s="9" t="s">
        <v>37</v>
      </c>
      <c r="H15" s="9" t="s">
        <v>32</v>
      </c>
      <c r="I15" s="10">
        <v>243</v>
      </c>
      <c r="J15" s="11">
        <v>7280000</v>
      </c>
      <c r="K15" s="12">
        <v>0.101</v>
      </c>
    </row>
    <row r="16" spans="1:14">
      <c r="A16" s="9" t="s">
        <v>15</v>
      </c>
      <c r="B16" s="10">
        <v>512</v>
      </c>
      <c r="C16" s="10">
        <v>192</v>
      </c>
      <c r="D16" s="11">
        <v>6310000</v>
      </c>
      <c r="G16" s="9" t="s">
        <v>38</v>
      </c>
      <c r="H16" s="9" t="s">
        <v>39</v>
      </c>
      <c r="I16" s="10">
        <v>94</v>
      </c>
      <c r="J16" s="11">
        <v>11600000</v>
      </c>
      <c r="K16" s="12">
        <v>0.039</v>
      </c>
    </row>
    <row r="17" spans="1:6">
      <c r="A17" s="9" t="s">
        <v>16</v>
      </c>
      <c r="B17" s="10">
        <v>505</v>
      </c>
      <c r="C17" s="10">
        <v>185</v>
      </c>
      <c r="D17" s="11">
        <v>6080000</v>
      </c>
    </row>
    <row r="18" spans="1:6">
      <c r="A18" s="9" t="s">
        <v>17</v>
      </c>
      <c r="B18" s="10">
        <v>528</v>
      </c>
      <c r="C18" s="10">
        <v>201</v>
      </c>
      <c r="D18" s="11">
        <v>6730000</v>
      </c>
    </row>
    <row r="19" spans="1:6">
      <c r="A19" s="9" t="s">
        <v>18</v>
      </c>
      <c r="B19" s="10">
        <v>541</v>
      </c>
      <c r="C19" s="10">
        <v>214</v>
      </c>
      <c r="D19" s="11">
        <v>7190000</v>
      </c>
    </row>
    <row r="20" spans="1:6">
      <c r="A20" s="9" t="s">
        <v>19</v>
      </c>
      <c r="B20" s="10">
        <v>563</v>
      </c>
      <c r="C20" s="10">
        <v>226</v>
      </c>
      <c r="D20" s="11">
        <v>7560000</v>
      </c>
    </row>
    <row r="21" spans="1:6">
      <c r="A21" s="9" t="s">
        <v>20</v>
      </c>
      <c r="B21" s="10">
        <v>589</v>
      </c>
      <c r="C21" s="10">
        <v>241</v>
      </c>
      <c r="D21" s="11">
        <v>8110000</v>
      </c>
    </row>
    <row r="22" spans="1:6">
      <c r="A22" s="9" t="s">
        <v>21</v>
      </c>
      <c r="B22" s="10">
        <v>624</v>
      </c>
      <c r="C22" s="10">
        <v>268</v>
      </c>
      <c r="D22" s="11">
        <v>9040000</v>
      </c>
    </row>
    <row r="24" spans="1:6">
      <c r="A24" s="8" t="s">
        <v>78</v>
      </c>
      <c r="B24" s="8"/>
      <c r="C24" s="8"/>
      <c r="D24" s="8"/>
      <c r="E24" s="8"/>
      <c r="F24" s="8"/>
    </row>
    <row r="25" spans="1:6">
      <c r="A25" t="s">
        <v>79</v>
      </c>
      <c r="B25" t="s">
        <v>41</v>
      </c>
      <c r="C25" t="s">
        <v>42</v>
      </c>
      <c r="D25" t="s">
        <v>75</v>
      </c>
      <c r="E25" t="s">
        <v>80</v>
      </c>
      <c r="F25" t="s">
        <v>81</v>
      </c>
    </row>
    <row r="26" spans="1:6">
      <c r="A26" s="9" t="s">
        <v>48</v>
      </c>
      <c r="B26" s="9" t="s">
        <v>49</v>
      </c>
      <c r="C26" s="9" t="s">
        <v>50</v>
      </c>
      <c r="D26" s="11">
        <v>4860000</v>
      </c>
      <c r="E26" s="11">
        <v>4500000</v>
      </c>
      <c r="F26" s="12">
        <v>1.08</v>
      </c>
    </row>
    <row r="27" spans="1:6">
      <c r="A27" s="9" t="s">
        <v>51</v>
      </c>
      <c r="B27" s="9" t="s">
        <v>52</v>
      </c>
      <c r="C27" s="9" t="s">
        <v>50</v>
      </c>
      <c r="D27" s="11">
        <v>4520000</v>
      </c>
      <c r="E27" s="11">
        <v>4200000</v>
      </c>
      <c r="F27" s="12">
        <v>1.076</v>
      </c>
    </row>
    <row r="28" spans="1:6">
      <c r="A28" s="9" t="s">
        <v>53</v>
      </c>
      <c r="B28" s="9" t="s">
        <v>54</v>
      </c>
      <c r="C28" s="9" t="s">
        <v>55</v>
      </c>
      <c r="D28" s="11">
        <v>4190000</v>
      </c>
      <c r="E28" s="11">
        <v>4000000</v>
      </c>
      <c r="F28" s="12">
        <v>1.048</v>
      </c>
    </row>
    <row r="29" spans="1:6">
      <c r="A29" s="9" t="s">
        <v>56</v>
      </c>
      <c r="B29" s="9" t="s">
        <v>57</v>
      </c>
      <c r="C29" s="9" t="s">
        <v>58</v>
      </c>
      <c r="D29" s="11">
        <v>3980000</v>
      </c>
      <c r="E29" s="11">
        <v>4100000</v>
      </c>
      <c r="F29" s="12">
        <v>0.971</v>
      </c>
    </row>
    <row r="30" spans="1:6">
      <c r="A30" s="9" t="s">
        <v>59</v>
      </c>
      <c r="B30" s="9" t="s">
        <v>60</v>
      </c>
      <c r="C30" s="9" t="s">
        <v>58</v>
      </c>
      <c r="D30" s="11">
        <v>3740000</v>
      </c>
      <c r="E30" s="11">
        <v>3900000</v>
      </c>
      <c r="F30" s="12">
        <v>0.959</v>
      </c>
    </row>
    <row r="31" spans="1:6">
      <c r="A31" s="9" t="s">
        <v>61</v>
      </c>
      <c r="B31" s="9" t="s">
        <v>62</v>
      </c>
      <c r="C31" s="9" t="s">
        <v>63</v>
      </c>
      <c r="D31" s="11">
        <v>3610000</v>
      </c>
      <c r="E31" s="11">
        <v>3500000</v>
      </c>
      <c r="F31" s="12">
        <v>1.031</v>
      </c>
    </row>
    <row r="32" spans="1:6">
      <c r="A32" s="9" t="s">
        <v>64</v>
      </c>
      <c r="B32" s="9" t="s">
        <v>65</v>
      </c>
      <c r="C32" s="9" t="s">
        <v>50</v>
      </c>
      <c r="D32" s="11">
        <v>3320000</v>
      </c>
      <c r="E32" s="11">
        <v>3600000</v>
      </c>
      <c r="F32" s="12">
        <v>0.922</v>
      </c>
    </row>
    <row r="33" spans="1:6">
      <c r="A33" s="9" t="s">
        <v>66</v>
      </c>
      <c r="B33" s="9" t="s">
        <v>67</v>
      </c>
      <c r="C33" s="9" t="s">
        <v>55</v>
      </c>
      <c r="D33" s="11">
        <v>3190000</v>
      </c>
      <c r="E33" s="11">
        <v>3400000</v>
      </c>
      <c r="F33" s="12">
        <v>0.9379999999999999</v>
      </c>
    </row>
  </sheetData>
  <mergeCells count="18">
    <mergeCell ref="A1:N1"/>
    <mergeCell ref="A2:N2"/>
    <mergeCell ref="A3:N3"/>
    <mergeCell ref="A4:C4"/>
    <mergeCell ref="A5:C6"/>
    <mergeCell ref="A7:C7"/>
    <mergeCell ref="D4:F4"/>
    <mergeCell ref="D5:F6"/>
    <mergeCell ref="D7:F7"/>
    <mergeCell ref="G4:I4"/>
    <mergeCell ref="G5:I6"/>
    <mergeCell ref="G7:I7"/>
    <mergeCell ref="K4:M4"/>
    <mergeCell ref="K5:M6"/>
    <mergeCell ref="K7:M7"/>
    <mergeCell ref="A9:D9"/>
    <mergeCell ref="G9:N9"/>
    <mergeCell ref="A24:F24"/>
  </mergeCells>
  <conditionalFormatting sqref="F26:F33">
    <cfRule type="dataBar" priority="1">
      <dataBar>
        <cfvo type="min" val="0"/>
        <cfvo type="max" val="0"/>
        <color rgb="FF1F7A54"/>
      </dataBar>
    </cfRule>
  </conditionalFormatting>
  <pageMargins left="0.25" right="0.25" top="0.35" bottom="0.35" header="0.3" footer="0.3"/>
  <pageSetup orientation="landscape"/>
  <headerFooter>
    <oddHeader>&amp;LJustyBase banking reporting fixture&amp;R&amp;"Calibri,Bold"Dashboard</oddHeader>
    <oddFooter>&amp;LGenerated synthetic example&amp;RPage &amp;P of &amp;N</oddFooter>
  </headerFooter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75B5"/>
    <pageSetUpPr fitToPage="1"/>
  </sheetPr>
  <dimension ref="A1:G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21.7109375" customWidth="1"/>
    <col min="4" max="4" width="14.7109375" customWidth="1"/>
    <col min="5" max="5" width="19.7109375" customWidth="1"/>
    <col min="6" max="6" width="18.7109375" customWidth="1"/>
    <col min="7" max="7" width="17.7109375" customWidth="1"/>
  </cols>
  <sheetData>
    <row r="1" spans="1:7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>
      <c r="A2" s="13" t="s">
        <v>10</v>
      </c>
      <c r="B2" s="14">
        <v>420</v>
      </c>
      <c r="C2" s="14">
        <v>318</v>
      </c>
      <c r="D2" s="14">
        <v>142</v>
      </c>
      <c r="E2" s="15">
        <v>4650000</v>
      </c>
      <c r="F2" s="13">
        <v>3</v>
      </c>
      <c r="G2" s="16">
        <v>0.447</v>
      </c>
    </row>
    <row r="3" spans="1:7">
      <c r="A3" s="13" t="s">
        <v>11</v>
      </c>
      <c r="B3" s="14">
        <v>438</v>
      </c>
      <c r="C3" s="14">
        <v>332</v>
      </c>
      <c r="D3" s="14">
        <v>151</v>
      </c>
      <c r="E3" s="15">
        <v>4920000</v>
      </c>
      <c r="F3" s="13">
        <v>3</v>
      </c>
      <c r="G3" s="16">
        <v>0.455</v>
      </c>
    </row>
    <row r="4" spans="1:7">
      <c r="A4" s="13" t="s">
        <v>12</v>
      </c>
      <c r="B4" s="14">
        <v>470</v>
      </c>
      <c r="C4" s="14">
        <v>351</v>
      </c>
      <c r="D4" s="14">
        <v>168</v>
      </c>
      <c r="E4" s="15">
        <v>5480000</v>
      </c>
      <c r="F4" s="13">
        <v>4</v>
      </c>
      <c r="G4" s="16">
        <v>0.479</v>
      </c>
    </row>
    <row r="5" spans="1:7">
      <c r="A5" s="13" t="s">
        <v>13</v>
      </c>
      <c r="B5" s="14">
        <v>455</v>
      </c>
      <c r="C5" s="14">
        <v>344</v>
      </c>
      <c r="D5" s="14">
        <v>159</v>
      </c>
      <c r="E5" s="15">
        <v>5190000</v>
      </c>
      <c r="F5" s="13">
        <v>4</v>
      </c>
      <c r="G5" s="16">
        <v>0.462</v>
      </c>
    </row>
    <row r="6" spans="1:7">
      <c r="A6" s="13" t="s">
        <v>14</v>
      </c>
      <c r="B6" s="14">
        <v>486</v>
      </c>
      <c r="C6" s="14">
        <v>369</v>
      </c>
      <c r="D6" s="14">
        <v>177</v>
      </c>
      <c r="E6" s="15">
        <v>5740000</v>
      </c>
      <c r="F6" s="13">
        <v>4</v>
      </c>
      <c r="G6" s="16">
        <v>0.48</v>
      </c>
    </row>
    <row r="7" spans="1:7">
      <c r="A7" s="13" t="s">
        <v>15</v>
      </c>
      <c r="B7" s="14">
        <v>512</v>
      </c>
      <c r="C7" s="14">
        <v>391</v>
      </c>
      <c r="D7" s="14">
        <v>192</v>
      </c>
      <c r="E7" s="15">
        <v>6310000</v>
      </c>
      <c r="F7" s="13">
        <v>5</v>
      </c>
      <c r="G7" s="16">
        <v>0.491</v>
      </c>
    </row>
    <row r="8" spans="1:7">
      <c r="A8" s="13" t="s">
        <v>16</v>
      </c>
      <c r="B8" s="14">
        <v>505</v>
      </c>
      <c r="C8" s="14">
        <v>378</v>
      </c>
      <c r="D8" s="14">
        <v>185</v>
      </c>
      <c r="E8" s="15">
        <v>6080000</v>
      </c>
      <c r="F8" s="13">
        <v>5</v>
      </c>
      <c r="G8" s="16">
        <v>0.489</v>
      </c>
    </row>
    <row r="9" spans="1:7">
      <c r="A9" s="13" t="s">
        <v>17</v>
      </c>
      <c r="B9" s="14">
        <v>528</v>
      </c>
      <c r="C9" s="14">
        <v>401</v>
      </c>
      <c r="D9" s="14">
        <v>201</v>
      </c>
      <c r="E9" s="15">
        <v>6730000</v>
      </c>
      <c r="F9" s="13">
        <v>5</v>
      </c>
      <c r="G9" s="16">
        <v>0.501</v>
      </c>
    </row>
    <row r="10" spans="1:7">
      <c r="A10" s="13" t="s">
        <v>18</v>
      </c>
      <c r="B10" s="14">
        <v>541</v>
      </c>
      <c r="C10" s="14">
        <v>415</v>
      </c>
      <c r="D10" s="14">
        <v>214</v>
      </c>
      <c r="E10" s="15">
        <v>7190000</v>
      </c>
      <c r="F10" s="13">
        <v>6</v>
      </c>
      <c r="G10" s="16">
        <v>0.516</v>
      </c>
    </row>
    <row r="11" spans="1:7">
      <c r="A11" s="13" t="s">
        <v>19</v>
      </c>
      <c r="B11" s="14">
        <v>563</v>
      </c>
      <c r="C11" s="14">
        <v>429</v>
      </c>
      <c r="D11" s="14">
        <v>226</v>
      </c>
      <c r="E11" s="15">
        <v>7560000</v>
      </c>
      <c r="F11" s="13">
        <v>6</v>
      </c>
      <c r="G11" s="16">
        <v>0.527</v>
      </c>
    </row>
    <row r="12" spans="1:7">
      <c r="A12" s="13" t="s">
        <v>20</v>
      </c>
      <c r="B12" s="14">
        <v>589</v>
      </c>
      <c r="C12" s="14">
        <v>448</v>
      </c>
      <c r="D12" s="14">
        <v>241</v>
      </c>
      <c r="E12" s="15">
        <v>8110000</v>
      </c>
      <c r="F12" s="13">
        <v>6</v>
      </c>
      <c r="G12" s="16">
        <v>0.538</v>
      </c>
    </row>
    <row r="13" spans="1:7">
      <c r="A13" s="13" t="s">
        <v>21</v>
      </c>
      <c r="B13" s="14">
        <v>624</v>
      </c>
      <c r="C13" s="14">
        <v>476</v>
      </c>
      <c r="D13" s="14">
        <v>268</v>
      </c>
      <c r="E13" s="15">
        <v>9040000</v>
      </c>
      <c r="F13" s="13">
        <v>7</v>
      </c>
      <c r="G13" s="16">
        <v>0.5629999999999999</v>
      </c>
    </row>
  </sheetData>
  <conditionalFormatting sqref="B2:B13">
    <cfRule type="colorScale" priority="1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C2:C13">
    <cfRule type="colorScale" priority="2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D2:D13">
    <cfRule type="colorScale" priority="3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E2:E13">
    <cfRule type="colorScale" priority="4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G2:G13">
    <cfRule type="colorScale" priority="5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pageMargins left="0.7" right="0.7" top="0.75" bottom="0.75" header="0.3" footer="0.3"/>
  <pageSetup fitToHeight="0" orientation="landscape"/>
  <headerFooter>
    <oddHeader>&amp;L&amp;"Calibri,Bold"Raw data: Raw_Monthly&amp;RPage &amp;P of &amp;N</oddHeader>
    <oddFooter>&amp;LJustyBase dashboard fixture&amp;RConfidential synthetic data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7D92"/>
    <pageSetUpPr fitToPage="1"/>
  </sheetPr>
  <dimension ref="A1:G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7.7109375" customWidth="1"/>
    <col min="3" max="3" width="14.7109375" customWidth="1"/>
    <col min="4" max="6" width="12.7109375" customWidth="1"/>
    <col min="7" max="7" width="16.7109375" customWidth="1"/>
  </cols>
  <sheetData>
    <row r="1" spans="1:7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>
      <c r="A2" s="13" t="s">
        <v>29</v>
      </c>
      <c r="B2" s="13" t="s">
        <v>30</v>
      </c>
      <c r="C2" s="14">
        <v>1680</v>
      </c>
      <c r="D2" s="14">
        <v>1548</v>
      </c>
      <c r="E2" s="14">
        <v>1496</v>
      </c>
      <c r="F2" s="15">
        <v>0</v>
      </c>
      <c r="G2" s="16">
        <v>0.259</v>
      </c>
    </row>
    <row r="3" spans="1:7">
      <c r="A3" s="13" t="s">
        <v>31</v>
      </c>
      <c r="B3" s="13" t="s">
        <v>32</v>
      </c>
      <c r="C3" s="14">
        <v>1044</v>
      </c>
      <c r="D3" s="14">
        <v>742</v>
      </c>
      <c r="E3" s="14">
        <v>664</v>
      </c>
      <c r="F3" s="15">
        <v>8820000</v>
      </c>
      <c r="G3" s="16">
        <v>0.276</v>
      </c>
    </row>
    <row r="4" spans="1:7">
      <c r="A4" s="13" t="s">
        <v>33</v>
      </c>
      <c r="B4" s="13" t="s">
        <v>34</v>
      </c>
      <c r="C4" s="14">
        <v>812</v>
      </c>
      <c r="D4" s="14">
        <v>611</v>
      </c>
      <c r="E4" s="14">
        <v>548</v>
      </c>
      <c r="F4" s="15">
        <v>1644000</v>
      </c>
      <c r="G4" s="16">
        <v>0.228</v>
      </c>
    </row>
    <row r="5" spans="1:7">
      <c r="A5" s="13" t="s">
        <v>35</v>
      </c>
      <c r="B5" s="13" t="s">
        <v>36</v>
      </c>
      <c r="C5" s="14">
        <v>326</v>
      </c>
      <c r="D5" s="14">
        <v>184</v>
      </c>
      <c r="E5" s="14">
        <v>142</v>
      </c>
      <c r="F5" s="15">
        <v>38400000</v>
      </c>
      <c r="G5" s="16">
        <v>0.059</v>
      </c>
    </row>
    <row r="6" spans="1:7">
      <c r="A6" s="13" t="s">
        <v>37</v>
      </c>
      <c r="B6" s="13" t="s">
        <v>32</v>
      </c>
      <c r="C6" s="14">
        <v>452</v>
      </c>
      <c r="D6" s="14">
        <v>289</v>
      </c>
      <c r="E6" s="14">
        <v>243</v>
      </c>
      <c r="F6" s="15">
        <v>7280000</v>
      </c>
      <c r="G6" s="16">
        <v>0.101</v>
      </c>
    </row>
    <row r="7" spans="1:7">
      <c r="A7" s="13" t="s">
        <v>38</v>
      </c>
      <c r="B7" s="13" t="s">
        <v>39</v>
      </c>
      <c r="C7" s="14">
        <v>218</v>
      </c>
      <c r="D7" s="14">
        <v>126</v>
      </c>
      <c r="E7" s="14">
        <v>94</v>
      </c>
      <c r="F7" s="15">
        <v>11600000</v>
      </c>
      <c r="G7" s="16">
        <v>0.039</v>
      </c>
    </row>
  </sheetData>
  <conditionalFormatting sqref="C2:C7">
    <cfRule type="colorScale" priority="1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D2:D7">
    <cfRule type="colorScale" priority="2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E2:E7">
    <cfRule type="colorScale" priority="3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F2:F7">
    <cfRule type="colorScale" priority="4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G2:G7">
    <cfRule type="colorScale" priority="5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pageMargins left="0.7" right="0.7" top="0.75" bottom="0.75" header="0.3" footer="0.3"/>
  <pageSetup fitToHeight="0" orientation="landscape"/>
  <headerFooter>
    <oddHeader>&amp;L&amp;"Calibri,Bold"Raw data: Raw_Products&amp;RPage &amp;P of &amp;N</oddHeader>
    <oddFooter>&amp;LJustyBase dashboard fixture&amp;RConfidential synthetic data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7A54"/>
    <pageSetUpPr fitToPage="1"/>
  </sheetPr>
  <dimension ref="A1:I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4" width="12.7109375" customWidth="1"/>
    <col min="5" max="5" width="14.7109375" customWidth="1"/>
    <col min="6" max="6" width="18.7109375" customWidth="1"/>
    <col min="7" max="7" width="12.7109375" customWidth="1"/>
    <col min="8" max="9" width="17.7109375" customWidth="1"/>
  </cols>
  <sheetData>
    <row r="1" spans="1:9">
      <c r="A1" t="s">
        <v>40</v>
      </c>
      <c r="B1" t="s">
        <v>41</v>
      </c>
      <c r="C1" t="s">
        <v>42</v>
      </c>
      <c r="D1" t="s">
        <v>43</v>
      </c>
      <c r="E1" t="s">
        <v>6</v>
      </c>
      <c r="F1" t="s">
        <v>44</v>
      </c>
      <c r="G1" t="s">
        <v>45</v>
      </c>
      <c r="H1" t="s">
        <v>46</v>
      </c>
      <c r="I1" t="s">
        <v>47</v>
      </c>
    </row>
    <row r="2" spans="1:9">
      <c r="A2" s="13" t="s">
        <v>48</v>
      </c>
      <c r="B2" s="13" t="s">
        <v>49</v>
      </c>
      <c r="C2" s="13" t="s">
        <v>50</v>
      </c>
      <c r="D2" s="14">
        <v>312</v>
      </c>
      <c r="E2" s="14">
        <v>148</v>
      </c>
      <c r="F2" s="15">
        <v>4860000</v>
      </c>
      <c r="G2" s="15">
        <v>4500000</v>
      </c>
      <c r="H2" s="16">
        <v>1.08</v>
      </c>
      <c r="I2" s="14">
        <v>18</v>
      </c>
    </row>
    <row r="3" spans="1:9">
      <c r="A3" s="13" t="s">
        <v>51</v>
      </c>
      <c r="B3" s="13" t="s">
        <v>52</v>
      </c>
      <c r="C3" s="13" t="s">
        <v>50</v>
      </c>
      <c r="D3" s="14">
        <v>286</v>
      </c>
      <c r="E3" s="14">
        <v>137</v>
      </c>
      <c r="F3" s="15">
        <v>4520000</v>
      </c>
      <c r="G3" s="15">
        <v>4200000</v>
      </c>
      <c r="H3" s="16">
        <v>1.076</v>
      </c>
      <c r="I3" s="14">
        <v>16</v>
      </c>
    </row>
    <row r="4" spans="1:9">
      <c r="A4" s="13" t="s">
        <v>53</v>
      </c>
      <c r="B4" s="13" t="s">
        <v>54</v>
      </c>
      <c r="C4" s="13" t="s">
        <v>55</v>
      </c>
      <c r="D4" s="14">
        <v>274</v>
      </c>
      <c r="E4" s="14">
        <v>129</v>
      </c>
      <c r="F4" s="15">
        <v>4190000</v>
      </c>
      <c r="G4" s="15">
        <v>4000000</v>
      </c>
      <c r="H4" s="16">
        <v>1.048</v>
      </c>
      <c r="I4" s="14">
        <v>15</v>
      </c>
    </row>
    <row r="5" spans="1:9">
      <c r="A5" s="13" t="s">
        <v>56</v>
      </c>
      <c r="B5" s="13" t="s">
        <v>57</v>
      </c>
      <c r="C5" s="13" t="s">
        <v>58</v>
      </c>
      <c r="D5" s="14">
        <v>263</v>
      </c>
      <c r="E5" s="14">
        <v>121</v>
      </c>
      <c r="F5" s="15">
        <v>3980000</v>
      </c>
      <c r="G5" s="15">
        <v>4100000</v>
      </c>
      <c r="H5" s="16">
        <v>0.971</v>
      </c>
      <c r="I5" s="14">
        <v>14</v>
      </c>
    </row>
    <row r="6" spans="1:9">
      <c r="A6" s="13" t="s">
        <v>59</v>
      </c>
      <c r="B6" s="13" t="s">
        <v>60</v>
      </c>
      <c r="C6" s="13" t="s">
        <v>58</v>
      </c>
      <c r="D6" s="14">
        <v>251</v>
      </c>
      <c r="E6" s="14">
        <v>116</v>
      </c>
      <c r="F6" s="15">
        <v>3740000</v>
      </c>
      <c r="G6" s="15">
        <v>3900000</v>
      </c>
      <c r="H6" s="16">
        <v>0.959</v>
      </c>
      <c r="I6" s="14">
        <v>13</v>
      </c>
    </row>
    <row r="7" spans="1:9">
      <c r="A7" s="13" t="s">
        <v>61</v>
      </c>
      <c r="B7" s="13" t="s">
        <v>62</v>
      </c>
      <c r="C7" s="13" t="s">
        <v>63</v>
      </c>
      <c r="D7" s="14">
        <v>239</v>
      </c>
      <c r="E7" s="14">
        <v>110</v>
      </c>
      <c r="F7" s="15">
        <v>3610000</v>
      </c>
      <c r="G7" s="15">
        <v>3500000</v>
      </c>
      <c r="H7" s="16">
        <v>1.031</v>
      </c>
      <c r="I7" s="14">
        <v>12</v>
      </c>
    </row>
    <row r="8" spans="1:9">
      <c r="A8" s="13" t="s">
        <v>64</v>
      </c>
      <c r="B8" s="13" t="s">
        <v>65</v>
      </c>
      <c r="C8" s="13" t="s">
        <v>50</v>
      </c>
      <c r="D8" s="14">
        <v>226</v>
      </c>
      <c r="E8" s="14">
        <v>104</v>
      </c>
      <c r="F8" s="15">
        <v>3320000</v>
      </c>
      <c r="G8" s="15">
        <v>3600000</v>
      </c>
      <c r="H8" s="16">
        <v>0.922</v>
      </c>
      <c r="I8" s="14">
        <v>12</v>
      </c>
    </row>
    <row r="9" spans="1:9">
      <c r="A9" s="13" t="s">
        <v>66</v>
      </c>
      <c r="B9" s="13" t="s">
        <v>67</v>
      </c>
      <c r="C9" s="13" t="s">
        <v>55</v>
      </c>
      <c r="D9" s="14">
        <v>218</v>
      </c>
      <c r="E9" s="14">
        <v>101</v>
      </c>
      <c r="F9" s="15">
        <v>3190000</v>
      </c>
      <c r="G9" s="15">
        <v>3400000</v>
      </c>
      <c r="H9" s="16">
        <v>0.9379999999999999</v>
      </c>
      <c r="I9" s="14">
        <v>11</v>
      </c>
    </row>
  </sheetData>
  <conditionalFormatting sqref="D2:D9">
    <cfRule type="colorScale" priority="1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E2:E9">
    <cfRule type="colorScale" priority="2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F2:F9">
    <cfRule type="colorScale" priority="3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H2:H9">
    <cfRule type="colorScale" priority="4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pageMargins left="0.7" right="0.7" top="0.75" bottom="0.75" header="0.3" footer="0.3"/>
  <pageSetup fitToHeight="0" orientation="landscape"/>
  <headerFooter>
    <oddHeader>&amp;L&amp;"Calibri,Bold"Raw data: Raw_Branches&amp;RPage &amp;P of &amp;N</oddHeader>
    <oddFooter>&amp;LJustyBase dashboard fixture&amp;RConfidential synthetic data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E8892F"/>
  </sheetPr>
  <dimension ref="A1:C1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3.7109375" customWidth="1"/>
    <col min="2" max="2" width="28.7109375" customWidth="1"/>
    <col min="3" max="3" width="70.7109375" customWidth="1"/>
  </cols>
  <sheetData>
    <row r="1" spans="1:3" ht="28" customHeight="1">
      <c r="A1" s="1" t="s">
        <v>82</v>
      </c>
      <c r="B1" s="1"/>
      <c r="C1" s="1"/>
    </row>
    <row r="3" spans="1:3">
      <c r="A3" s="17" t="s">
        <v>83</v>
      </c>
      <c r="B3" s="18" t="s">
        <v>84</v>
      </c>
      <c r="C3" s="18"/>
    </row>
    <row r="5" spans="1:3">
      <c r="A5" s="17" t="s">
        <v>85</v>
      </c>
      <c r="B5" s="17" t="s">
        <v>86</v>
      </c>
      <c r="C5" s="17" t="s">
        <v>87</v>
      </c>
    </row>
    <row r="6" spans="1:3">
      <c r="A6" s="18" t="s">
        <v>88</v>
      </c>
      <c r="B6" s="18" t="s">
        <v>89</v>
      </c>
      <c r="C6" s="18" t="s">
        <v>90</v>
      </c>
    </row>
    <row r="7" spans="1:3">
      <c r="A7" s="18" t="s">
        <v>91</v>
      </c>
      <c r="B7" s="18" t="s">
        <v>92</v>
      </c>
      <c r="C7" s="18" t="s">
        <v>93</v>
      </c>
    </row>
    <row r="8" spans="1:3">
      <c r="A8" s="18" t="s">
        <v>94</v>
      </c>
      <c r="B8" s="18" t="s">
        <v>95</v>
      </c>
      <c r="C8" s="18" t="s">
        <v>96</v>
      </c>
    </row>
    <row r="11" spans="1:3">
      <c r="A11" s="17" t="s">
        <v>97</v>
      </c>
      <c r="B11" s="19" t="s">
        <v>98</v>
      </c>
      <c r="C11" s="19"/>
    </row>
    <row r="13" spans="1:3">
      <c r="A13" s="17" t="s">
        <v>99</v>
      </c>
      <c r="B13" s="18" t="s">
        <v>100</v>
      </c>
      <c r="C13" s="18"/>
    </row>
    <row r="14" spans="1:3">
      <c r="B14" s="18"/>
      <c r="C14" s="18"/>
    </row>
    <row r="15" spans="1:3">
      <c r="B15" s="18"/>
      <c r="C15" s="18"/>
    </row>
  </sheetData>
  <mergeCells count="4">
    <mergeCell ref="A1:C1"/>
    <mergeCell ref="B3:C3"/>
    <mergeCell ref="B11:C11"/>
    <mergeCell ref="B13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23</vt:i4>
      </vt:variant>
    </vt:vector>
  </HeadingPairs>
  <TitlesOfParts>
    <vt:vector size="28" baseType="lpstr">
      <vt:lpstr>Dashboard</vt:lpstr>
      <vt:lpstr>Raw_Monthly</vt:lpstr>
      <vt:lpstr>Raw_Products</vt:lpstr>
      <vt:lpstr>Raw_Branches</vt:lpstr>
      <vt:lpstr>Model_Guide</vt:lpstr>
      <vt:lpstr>sales_branches_Active_Advisors</vt:lpstr>
      <vt:lpstr>sales_branches_Attainment_Rate</vt:lpstr>
      <vt:lpstr>sales_branches_Branch</vt:lpstr>
      <vt:lpstr>sales_branches_Branch_ID</vt:lpstr>
      <vt:lpstr>sales_branches_Credit_Sales</vt:lpstr>
      <vt:lpstr>sales_branches_Region</vt:lpstr>
      <vt:lpstr>sales_branches_ROR_Sales</vt:lpstr>
      <vt:lpstr>sales_branches_Target_PLN</vt:lpstr>
      <vt:lpstr>sales_branches_Total_Volume_PLN</vt:lpstr>
      <vt:lpstr>sales_monthly_Active_Campaigns</vt:lpstr>
      <vt:lpstr>sales_monthly_Conversion_Rate</vt:lpstr>
      <vt:lpstr>sales_monthly_Credit_Applications</vt:lpstr>
      <vt:lpstr>sales_monthly_Credit_Sales</vt:lpstr>
      <vt:lpstr>sales_monthly_Credit_Volume_PLN</vt:lpstr>
      <vt:lpstr>sales_monthly_Month</vt:lpstr>
      <vt:lpstr>sales_monthly_New_ROR_Accounts</vt:lpstr>
      <vt:lpstr>sales_products_Applications</vt:lpstr>
      <vt:lpstr>sales_products_Approved</vt:lpstr>
      <vt:lpstr>sales_products_Category</vt:lpstr>
      <vt:lpstr>sales_products_Product</vt:lpstr>
      <vt:lpstr>sales_products_Share_of_Sales</vt:lpstr>
      <vt:lpstr>sales_products_Sold</vt:lpstr>
      <vt:lpstr>sales_products_Volume_PLN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Sales Overview</dc:title>
  <dc:subject>Refreshable synthetic banking dashboard</dc:subject>
  <dc:creator>JustyBase</dc:creator>
  <dc:description>Synthetic data for documentation and tests only.</dc:description>
  <cp:lastModifiedBy>JustyBase</cp:lastModifiedBy>
  <dcterms:created xsi:type="dcterms:W3CDTF">2026-08-29T13:25:35Z</dcterms:created>
  <dcterms:modified xsi:type="dcterms:W3CDTF">2026-08-29T13:25:35Z</dcterms:modified>
</cp:coreProperties>
</file>