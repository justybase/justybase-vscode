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aw_Campaigns" sheetId="2" r:id="rId2"/>
    <sheet name="Raw_Monthly_Campaigns" sheetId="3" r:id="rId3"/>
    <sheet name="Raw_Funnel" sheetId="4" r:id="rId4"/>
    <sheet name="Raw_Segments" sheetId="5" r:id="rId5"/>
    <sheet name="Model_Guide" sheetId="6" r:id="rId6"/>
  </sheets>
  <definedNames>
    <definedName name="campaign_funnel_Conversion_From_Previous">'Raw_Funnel'!$C$2:INDEX('Raw_Funnel'!$C:$C,COUNTA('Raw_Funnel'!$A:$A))</definedName>
    <definedName name="campaign_funnel_Count">'Raw_Funnel'!$B$2:INDEX('Raw_Funnel'!$B:$B,COUNTA('Raw_Funnel'!$A:$A))</definedName>
    <definedName name="campaign_funnel_Stage">'Raw_Funnel'!$A$2:INDEX('Raw_Funnel'!$A:$A,COUNTA('Raw_Funnel'!$A:$A))</definedName>
    <definedName name="campaign_months_Branch_Leads">'Raw_Monthly_Campaigns'!$C$2:INDEX('Raw_Monthly_Campaigns'!$C:$C,COUNTA('Raw_Monthly_Campaigns'!$A:$A))</definedName>
    <definedName name="campaign_months_Digital_Leads">'Raw_Monthly_Campaigns'!$B$2:INDEX('Raw_Monthly_Campaigns'!$B:$B,COUNTA('Raw_Monthly_Campaigns'!$A:$A))</definedName>
    <definedName name="campaign_months_Month">'Raw_Monthly_Campaigns'!$A$2:INDEX('Raw_Monthly_Campaigns'!$A:$A,COUNTA('Raw_Monthly_Campaigns'!$A:$A))</definedName>
    <definedName name="campaign_months_Partner_Leads">'Raw_Monthly_Campaigns'!$D$2:INDEX('Raw_Monthly_Campaigns'!$D:$D,COUNTA('Raw_Monthly_Campaigns'!$A:$A))</definedName>
    <definedName name="campaign_months_Total_Sales">'Raw_Monthly_Campaigns'!$E$2:INDEX('Raw_Monthly_Campaigns'!$E:$E,COUNTA('Raw_Monthly_Campaigns'!$A:$A))</definedName>
    <definedName name="campaign_months_Volume_PLN">'Raw_Monthly_Campaigns'!$F$2:INDEX('Raw_Monthly_Campaigns'!$F:$F,COUNTA('Raw_Monthly_Campaigns'!$A:$A))</definedName>
    <definedName name="campaigns_Applications">'Raw_Campaigns'!$F$2:INDEX('Raw_Campaigns'!$F:$F,COUNTA('Raw_Campaigns'!$A:$A))</definedName>
    <definedName name="campaigns_Approved">'Raw_Campaigns'!$G$2:INDEX('Raw_Campaigns'!$G:$G,COUNTA('Raw_Campaigns'!$A:$A))</definedName>
    <definedName name="campaigns_Campaign">'Raw_Campaigns'!$B$2:INDEX('Raw_Campaigns'!$B:$B,COUNTA('Raw_Campaigns'!$A:$A))</definedName>
    <definedName name="campaigns_Campaign_ID">'Raw_Campaigns'!$A$2:INDEX('Raw_Campaigns'!$A:$A,COUNTA('Raw_Campaigns'!$A:$A))</definedName>
    <definedName name="campaigns_Channel">'Raw_Campaigns'!$C$2:INDEX('Raw_Campaigns'!$C:$C,COUNTA('Raw_Campaigns'!$A:$A))</definedName>
    <definedName name="campaigns_Conversion_Rate">'Raw_Campaigns'!$K$2:INDEX('Raw_Campaigns'!$K:$K,COUNTA('Raw_Campaigns'!$A:$A))</definedName>
    <definedName name="campaigns_Leads">'Raw_Campaigns'!$E$2:INDEX('Raw_Campaigns'!$E:$E,COUNTA('Raw_Campaigns'!$A:$A))</definedName>
    <definedName name="campaigns_Product">'Raw_Campaigns'!$D$2:INDEX('Raw_Campaigns'!$D:$D,COUNTA('Raw_Campaigns'!$A:$A))</definedName>
    <definedName name="campaigns_ROI">'Raw_Campaigns'!$L$2:INDEX('Raw_Campaigns'!$L:$L,COUNTA('Raw_Campaigns'!$A:$A))</definedName>
    <definedName name="campaigns_Sold">'Raw_Campaigns'!$H$2:INDEX('Raw_Campaigns'!$H:$H,COUNTA('Raw_Campaigns'!$A:$A))</definedName>
    <definedName name="campaigns_Spend_PLN">'Raw_Campaigns'!$J$2:INDEX('Raw_Campaigns'!$J:$J,COUNTA('Raw_Campaigns'!$A:$A))</definedName>
    <definedName name="campaigns_Volume_PLN">'Raw_Campaigns'!$I$2:INDEX('Raw_Campaigns'!$I:$I,COUNTA('Raw_Campaigns'!$A:$A))</definedName>
  </definedNames>
  <calcPr calcId="124519" fullCalcOnLoad="1"/>
</workbook>
</file>

<file path=xl/sharedStrings.xml><?xml version="1.0" encoding="utf-8"?>
<sst xmlns="http://schemas.openxmlformats.org/spreadsheetml/2006/main" count="233" uniqueCount="115">
  <si>
    <t>CAMPAIGN PERFORMANCE DASHBOARD</t>
  </si>
  <si>
    <t>Acquisition funnel • channel mix • campaign ROI • segment performance | synthetic 2025 model</t>
  </si>
  <si>
    <t>Refresh contract: replace only Raw_* tabs with %EXPORT(update=true); formulas and charts stay in the presentation layer.</t>
  </si>
  <si>
    <t>Campaign_ID</t>
  </si>
  <si>
    <t>Campaign</t>
  </si>
  <si>
    <t>Channel</t>
  </si>
  <si>
    <t>Product</t>
  </si>
  <si>
    <t>Leads</t>
  </si>
  <si>
    <t>Applications</t>
  </si>
  <si>
    <t>Approved</t>
  </si>
  <si>
    <t>Sold</t>
  </si>
  <si>
    <t>Volume_PLN</t>
  </si>
  <si>
    <t>Spend_PLN</t>
  </si>
  <si>
    <t>Conversion_Rate</t>
  </si>
  <si>
    <t>ROI</t>
  </si>
  <si>
    <t>C-2501</t>
  </si>
  <si>
    <t>Start w banku</t>
  </si>
  <si>
    <t>Digital</t>
  </si>
  <si>
    <t>ROR Account</t>
  </si>
  <si>
    <t>C-2502</t>
  </si>
  <si>
    <t>Gotowka na start</t>
  </si>
  <si>
    <t>Branch</t>
  </si>
  <si>
    <t>Cash Loan</t>
  </si>
  <si>
    <t>C-2503</t>
  </si>
  <si>
    <t>Karta bez oplat</t>
  </si>
  <si>
    <t>Credit Card</t>
  </si>
  <si>
    <t>C-2504</t>
  </si>
  <si>
    <t>Dom na lata</t>
  </si>
  <si>
    <t>Partner</t>
  </si>
  <si>
    <t>Mortgage</t>
  </si>
  <si>
    <t>C-2505</t>
  </si>
  <si>
    <t>Auto blizej</t>
  </si>
  <si>
    <t>Auto Loan</t>
  </si>
  <si>
    <t>C-2506</t>
  </si>
  <si>
    <t>Firma rosnie</t>
  </si>
  <si>
    <t>RM</t>
  </si>
  <si>
    <t>SME Loan</t>
  </si>
  <si>
    <t>C-2507</t>
  </si>
  <si>
    <t>Wiosenna premia</t>
  </si>
  <si>
    <t>C-2508</t>
  </si>
  <si>
    <t>Cross-sell Q4</t>
  </si>
  <si>
    <t>CRM</t>
  </si>
  <si>
    <t>Month</t>
  </si>
  <si>
    <t>Digital_Leads</t>
  </si>
  <si>
    <t>Branch_Leads</t>
  </si>
  <si>
    <t>Partner_Leads</t>
  </si>
  <si>
    <t>Total_Sales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</si>
  <si>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</si>
  <si>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</si>
  <si>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</si>
  <si>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</si>
  <si>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</si>
  <si>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</si>
  <si>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</si>
  <si>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</si>
  <si>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</si>
  <si>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</si>
  <si>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</si>
  <si>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</si>
  <si>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Stage</t>
  </si>
  <si>
    <t>Count</t>
  </si>
  <si>
    <t>Conversion_From_Previous</t>
  </si>
  <si>
    <t>Qualified</t>
  </si>
  <si>
    <t>Segment</t>
  </si>
  <si>
    <t>ROR_New</t>
  </si>
  <si>
    <t>Credit_Sales</t>
  </si>
  <si>
    <t>Avg_Ticket_PLN</t>
  </si>
  <si>
    <t>Cross_Sell_Rate</t>
  </si>
  <si>
    <t>Mass retail</t>
  </si>
  <si>
    <t>Affluent</t>
  </si>
  <si>
    <t>Young adults</t>
  </si>
  <si>
    <t>Families</t>
  </si>
  <si>
    <t>Micro-business</t>
  </si>
  <si>
    <t>Total leads</t>
  </si>
  <si>
    <t>Source: Raw_Monthly_Campaigns</t>
  </si>
  <si>
    <t>Sold products</t>
  </si>
  <si>
    <t>Source: Raw_Campaigns</t>
  </si>
  <si>
    <t>Sales volume</t>
  </si>
  <si>
    <t>Average ROI</t>
  </si>
  <si>
    <t>CAMPAIGN RANKING</t>
  </si>
  <si>
    <t>Volume PLN</t>
  </si>
  <si>
    <t>ACQUISITION FUNNEL</t>
  </si>
  <si>
    <t>Conversion</t>
  </si>
  <si>
    <t>MONTHLY CHANNEL TREND</t>
  </si>
  <si>
    <t>Digital leads</t>
  </si>
  <si>
    <t>Branch leads</t>
  </si>
  <si>
    <t>Partner leads</t>
  </si>
  <si>
    <t>Sales</t>
  </si>
  <si>
    <t>CUSTOMER SEGMENTS</t>
  </si>
  <si>
    <t>ROR new</t>
  </si>
  <si>
    <t>Credit sales</t>
  </si>
  <si>
    <t>Avg ticket</t>
  </si>
  <si>
    <t>Cross-sell</t>
  </si>
  <si>
    <t>CAMPAIGN PERFORMANCE | MODEL GUIDE</t>
  </si>
  <si>
    <t>Purpose</t>
  </si>
  <si>
    <t>A documentation fixture for refreshable reporting with @justybase/spreadsheet-tasks.</t>
  </si>
  <si>
    <t>Raw tab</t>
  </si>
  <si>
    <t>Table</t>
  </si>
  <si>
    <t>Replacement contract</t>
  </si>
  <si>
    <t>Raw_Campaigns</t>
  </si>
  <si>
    <t>tblCampaigns</t>
  </si>
  <si>
    <t>Campaign_ID, Campaign, Channel, Product, Leads, Applications, Approved, Sold, Volume_PLN, Spend_PLN, Conversion_Rate, ROI</t>
  </si>
  <si>
    <t>Raw_Monthly_Campaigns</t>
  </si>
  <si>
    <t>tblCampaignMonths</t>
  </si>
  <si>
    <t>Month, Digital_Leads, Branch_Leads, Partner_Leads, Total_Sales, Volume_PLN</t>
  </si>
  <si>
    <t>Raw_Funnel</t>
  </si>
  <si>
    <t>tblCampaignFunnel</t>
  </si>
  <si>
    <t>Stage, Count, Conversion_From_Previous</t>
  </si>
  <si>
    <t>Raw_Segments</t>
  </si>
  <si>
    <t>tblCampaignSegments</t>
  </si>
  <si>
    <t>Segment, ROR_New, Credit_Sales, Volume_PLN, Avg_Ticket_PLN, Cross_Sell_Rate</t>
  </si>
  <si>
    <t>Update example</t>
  </si>
  <si>
    <t>%EXPORT(format='xlsx', file='/reports/campaign-performance.xlsx', sheet='Raw_Monthly', query=(SELECT ...), update=true);</t>
  </si>
  <si>
    <t>Design notes</t>
  </si>
  <si>
    <t>Dashboard formulas use Excel table references and charts use dynamic workbook names. The updater replaces a raw sheet, updates its table range, and preserves the other sheets and dashboard drawing. Open in desktop Excel to recalculate formulas and refresh any external PivotTable caches.</t>
  </si>
</sst>
</file>

<file path=xl/styles.xml><?xml version="1.0" encoding="utf-8"?>
<styleSheet xmlns="http://schemas.openxmlformats.org/spreadsheetml/2006/main">
  <numFmts count="4">
    <numFmt numFmtId="164" formatCode="#,##0 &quot;PLN&quot;"/>
    <numFmt numFmtId="165" formatCode="0.00x"/>
    <numFmt numFmtId="166" formatCode="#,##0"/>
    <numFmt numFmtId="167" formatCode="0.0%"/>
  </numFmts>
  <fonts count="1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sz val="9"/>
      <color rgb="FF60758A"/>
      <name val="Calibri"/>
      <family val="2"/>
      <scheme val="minor"/>
    </font>
    <font>
      <b/>
      <sz val="9"/>
      <color rgb="FF60758A"/>
      <name val="Calibri"/>
      <family val="2"/>
      <scheme val="minor"/>
    </font>
    <font>
      <b/>
      <sz val="17"/>
      <color rgb="FF163B65"/>
      <name val="Calibri"/>
      <family val="2"/>
      <scheme val="minor"/>
    </font>
    <font>
      <b/>
      <sz val="15"/>
      <color rgb="FF1F7A54"/>
      <name val="Calibri"/>
      <family val="2"/>
      <scheme val="minor"/>
    </font>
    <font>
      <b/>
      <sz val="17"/>
      <color rgb="FF1F7A5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sz val="11"/>
      <color rgb="FF163B65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63B65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7D92"/>
        <bgColor indexed="64"/>
      </patternFill>
    </fill>
  </fills>
  <borders count="2">
    <border>
      <left/>
      <right/>
      <top/>
      <bottom/>
      <diagonal/>
    </border>
    <border>
      <left style="thin">
        <color rgb="FFD6E0EB"/>
      </left>
      <right style="thin">
        <color rgb="FFD6E0EB"/>
      </right>
      <top style="thin">
        <color rgb="FFD6E0EB"/>
      </top>
      <bottom style="thin">
        <color rgb="FFD6E0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9" fillId="5" borderId="0" xfId="0" applyFont="1" applyFill="1"/>
    <xf numFmtId="166" fontId="9" fillId="5" borderId="0" xfId="0" applyNumberFormat="1" applyFont="1" applyFill="1"/>
    <xf numFmtId="164" fontId="9" fillId="5" borderId="0" xfId="0" applyNumberFormat="1" applyFont="1" applyFill="1"/>
    <xf numFmtId="165" fontId="9" fillId="5" borderId="0" xfId="0" applyNumberFormat="1" applyFont="1" applyFill="1"/>
    <xf numFmtId="167" fontId="9" fillId="5" borderId="0" xfId="0" applyNumberFormat="1" applyFont="1" applyFill="1"/>
    <xf numFmtId="0" fontId="9" fillId="0" borderId="0" xfId="0" applyFont="1"/>
    <xf numFmtId="166" fontId="9" fillId="0" borderId="0" xfId="0" applyNumberFormat="1" applyFont="1"/>
    <xf numFmtId="164" fontId="9" fillId="0" borderId="0" xfId="0" applyNumberFormat="1" applyFont="1"/>
    <xf numFmtId="167" fontId="9" fillId="0" borderId="0" xfId="0" applyNumberFormat="1" applyFont="1"/>
    <xf numFmtId="165" fontId="9" fillId="0" borderId="0" xfId="0" applyNumberFormat="1" applyFont="1"/>
    <xf numFmtId="0" fontId="8" fillId="2" borderId="0" xfId="0" applyFont="1" applyFill="1"/>
    <xf numFmtId="0" fontId="9" fillId="0" borderId="0" xfId="0" applyFont="1" applyAlignment="1">
      <alignment vertical="top" wrapText="1"/>
    </xf>
    <xf numFmtId="0" fontId="10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Campaign ROI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ROI</c:v>
          </c:tx>
          <c:spPr>
            <a:solidFill>
              <a:srgbClr val="1F7A54"/>
            </a:solidFill>
            <a:ln>
              <a:noFill/>
            </a:ln>
          </c:spPr>
          <c:dLbls>
            <c:numFmt formatCode="0.00x" sourceLinked="0"/>
            <c:showVal val="1"/>
          </c:dLbls>
          <c:cat>
            <c:strRef>
              <c:f>campaigns_Campaign</c:f>
              <c:strCache>
                <c:ptCount val="8"/>
                <c:pt idx="0">
                  <c:v>Start w banku</c:v>
                </c:pt>
                <c:pt idx="1">
                  <c:v>Gotowka na start</c:v>
                </c:pt>
                <c:pt idx="2">
                  <c:v>Karta bez oplat</c:v>
                </c:pt>
                <c:pt idx="3">
                  <c:v>Dom na lata</c:v>
                </c:pt>
                <c:pt idx="4">
                  <c:v>Auto blizej</c:v>
                </c:pt>
                <c:pt idx="5">
                  <c:v>Firma rosnie</c:v>
                </c:pt>
                <c:pt idx="6">
                  <c:v>Wiosenna premia</c:v>
                </c:pt>
                <c:pt idx="7">
                  <c:v>Cross-sell Q4</c:v>
                </c:pt>
              </c:strCache>
            </c:strRef>
          </c:cat>
          <c:val>
            <c:numRef>
              <c:f>campaigns_ROI</c:f>
              <c:numCache>
                <c:formatCode>General</c:formatCode>
                <c:ptCount val="8"/>
                <c:pt idx="0">
                  <c:v>3.41</c:v>
                </c:pt>
                <c:pt idx="1">
                  <c:v>4.75</c:v>
                </c:pt>
                <c:pt idx="2">
                  <c:v>5.08</c:v>
                </c:pt>
                <c:pt idx="3">
                  <c:v>3.28</c:v>
                </c:pt>
                <c:pt idx="4">
                  <c:v>4.9</c:v>
                </c:pt>
                <c:pt idx="5">
                  <c:v>5.12</c:v>
                </c:pt>
                <c:pt idx="6">
                  <c:v>3.96</c:v>
                </c:pt>
                <c:pt idx="7">
                  <c:v>7.91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numFmt formatCode="0.0x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Monthly campaign sales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Volume PLN</c:v>
          </c:tx>
          <c:spPr>
            <a:ln w="31750">
              <a:solidFill>
                <a:srgbClr val="2F75B5"/>
              </a:solidFill>
            </a:ln>
          </c:spPr>
          <c:marker>
            <c:symbol val="circle"/>
            <c:size val="4"/>
            <c:spPr>
              <a:solidFill>
                <a:srgbClr val="2F75B5"/>
              </a:solidFill>
            </c:spPr>
          </c:marker>
          <c:cat>
            <c:strRef>
              <c:f>campaign_months_Month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campaign_months_Volume_PLN</c:f>
              <c:numCache>
                <c:formatCode>General</c:formatCode>
                <c:ptCount val="12"/>
                <c:pt idx="0">
                  <c:v>4820000</c:v>
                </c:pt>
                <c:pt idx="1">
                  <c:v>5110000</c:v>
                </c:pt>
                <c:pt idx="2">
                  <c:v>5740000</c:v>
                </c:pt>
                <c:pt idx="3">
                  <c:v>5410000</c:v>
                </c:pt>
                <c:pt idx="4">
                  <c:v>6020000</c:v>
                </c:pt>
                <c:pt idx="5">
                  <c:v>6680000</c:v>
                </c:pt>
                <c:pt idx="6">
                  <c:v>6410000</c:v>
                </c:pt>
                <c:pt idx="7">
                  <c:v>7040000</c:v>
                </c:pt>
                <c:pt idx="8">
                  <c:v>7580000</c:v>
                </c:pt>
                <c:pt idx="9">
                  <c:v>8040000</c:v>
                </c:pt>
                <c:pt idx="10">
                  <c:v>8660000</c:v>
                </c:pt>
                <c:pt idx="11">
                  <c:v>9680000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#,##0,,&quot;m PLN&quot;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163B65"/>
                </a:solidFill>
              </a:defRPr>
            </a:pPr>
            <a:r>
              <a:rPr lang="en-US" sz="1200" b="1" baseline="0">
                <a:solidFill>
                  <a:srgbClr val="163B65"/>
                </a:solidFill>
              </a:rPr>
              <a:t>Acquisition funnel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E8892F"/>
            </a:solidFill>
            <a:ln>
              <a:noFill/>
            </a:ln>
          </c:spPr>
          <c:dLbls>
            <c:showVal val="1"/>
          </c:dLbls>
          <c:cat>
            <c:strRef>
              <c:f>campaign_funnel_Stage</c:f>
              <c:strCache>
                <c:ptCount val="5"/>
                <c:pt idx="0">
                  <c:v>Leads</c:v>
                </c:pt>
                <c:pt idx="1">
                  <c:v>Qualified</c:v>
                </c:pt>
                <c:pt idx="2">
                  <c:v>Applications</c:v>
                </c:pt>
                <c:pt idx="3">
                  <c:v>Approved</c:v>
                </c:pt>
                <c:pt idx="4">
                  <c:v>Sold</c:v>
                </c:pt>
              </c:strCache>
            </c:strRef>
          </c:cat>
          <c:val>
            <c:numRef>
              <c:f>campaign_funnel_Count</c:f>
              <c:numCache>
                <c:formatCode>General</c:formatCode>
                <c:ptCount val="5"/>
                <c:pt idx="0">
                  <c:v>36840</c:v>
                </c:pt>
                <c:pt idx="1">
                  <c:v>14820</c:v>
                </c:pt>
                <c:pt idx="2">
                  <c:v>6690</c:v>
                </c:pt>
                <c:pt idx="3">
                  <c:v>3846</c:v>
                </c:pt>
                <c:pt idx="4">
                  <c:v>2591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#,##0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solidFill>
            <a:srgbClr val="D6E0EB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34</xdr:row>
      <xdr:rowOff>0</xdr:rowOff>
    </xdr:from>
    <xdr:to>
      <xdr:col>10</xdr:col>
      <xdr:colOff>257175</xdr:colOff>
      <xdr:row>47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10</xdr:col>
      <xdr:colOff>257175</xdr:colOff>
      <xdr:row>62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64</xdr:row>
      <xdr:rowOff>0</xdr:rowOff>
    </xdr:from>
    <xdr:to>
      <xdr:col>10</xdr:col>
      <xdr:colOff>257175</xdr:colOff>
      <xdr:row>77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mpaignView" displayName="tblCampaignView" ref="A10:F18" totalsRowShown="0">
  <autoFilter ref="A10:F18"/>
  <tableColumns count="6">
    <tableColumn id="1" name="Campaign"/>
    <tableColumn id="2" name="Channel"/>
    <tableColumn id="3" name="Product"/>
    <tableColumn id="4" name="Sold"/>
    <tableColumn id="5" name="Volume PLN"/>
    <tableColumn id="6" name="ROI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CampaignFunnelView" displayName="tblCampaignFunnelView" ref="H10:J15" totalsRowShown="0">
  <autoFilter ref="H10:J15"/>
  <tableColumns count="3">
    <tableColumn id="1" name="Stage"/>
    <tableColumn id="2" name="Count"/>
    <tableColumn id="3" name="Convers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CampaignMonthView" displayName="tblCampaignMonthView" ref="A22:F34" totalsRowShown="0">
  <autoFilter ref="A22:F34"/>
  <tableColumns count="6">
    <tableColumn id="1" name="Month"/>
    <tableColumn id="2" name="Digital leads"/>
    <tableColumn id="3" name="Branch leads"/>
    <tableColumn id="4" name="Partner leads"/>
    <tableColumn id="5" name="Sales"/>
    <tableColumn id="6" name="Volume PL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CampaignSegmentView" displayName="tblCampaignSegmentView" ref="H22:M27" totalsRowShown="0">
  <autoFilter ref="H22:M27"/>
  <tableColumns count="6">
    <tableColumn id="1" name="Segment"/>
    <tableColumn id="2" name="ROR new"/>
    <tableColumn id="3" name="Credit sales"/>
    <tableColumn id="4" name="Volume PLN"/>
    <tableColumn id="5" name="Avg ticket"/>
    <tableColumn id="6" name="Cross-sel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Campaigns" displayName="tblCampaigns" ref="A1:L9" totalsRowShown="0">
  <autoFilter ref="A1:L9"/>
  <tableColumns count="12">
    <tableColumn id="1" name="Campaign_ID"/>
    <tableColumn id="2" name="Campaign"/>
    <tableColumn id="3" name="Channel"/>
    <tableColumn id="4" name="Product"/>
    <tableColumn id="5" name="Leads"/>
    <tableColumn id="6" name="Applications"/>
    <tableColumn id="7" name="Approved"/>
    <tableColumn id="8" name="Sold"/>
    <tableColumn id="9" name="Volume_PLN"/>
    <tableColumn id="10" name="Spend_PLN"/>
    <tableColumn id="11" name="Conversion_Rate"/>
    <tableColumn id="12" name="RO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ampaignMonths" displayName="tblCampaignMonths" ref="A1:F13" totalsRowShown="0">
  <autoFilter ref="A1:F13"/>
  <tableColumns count="6">
    <tableColumn id="1" name="Month"/>
    <tableColumn id="2" name="Digital_Leads"/>
    <tableColumn id="3" name="Branch_Leads"/>
    <tableColumn id="4" name="Partner_Leads"/>
    <tableColumn id="5" name="Total_Sales"/>
    <tableColumn id="6" name="Volume_PL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ampaignFunnel" displayName="tblCampaignFunnel" ref="A1:C6" totalsRowShown="0">
  <autoFilter ref="A1:C6"/>
  <tableColumns count="3">
    <tableColumn id="1" name="Stage"/>
    <tableColumn id="2" name="Count"/>
    <tableColumn id="3" name="Conversion_From_Previo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ampaignSegments" displayName="tblCampaignSegments" ref="A1:F6" totalsRowShown="0">
  <autoFilter ref="A1:F6"/>
  <tableColumns count="6">
    <tableColumn id="1" name="Segment"/>
    <tableColumn id="2" name="ROR_New"/>
    <tableColumn id="3" name="Credit_Sales"/>
    <tableColumn id="4" name="Volume_PLN"/>
    <tableColumn id="5" name="Avg_Ticket_PLN"/>
    <tableColumn id="6" name="Cross_Sell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B65"/>
    <pageSetUpPr fitToPage="1"/>
  </sheetPr>
  <dimension ref="A1:N34"/>
  <sheetViews>
    <sheetView showGridLines="0" tabSelected="1" workbookViewId="0"/>
  </sheetViews>
  <sheetFormatPr defaultRowHeight="15"/>
  <cols>
    <col min="1" max="1" width="23.7109375" customWidth="1"/>
    <col min="2" max="4" width="17.7109375" customWidth="1"/>
    <col min="5" max="5" width="3.7109375" customWidth="1"/>
    <col min="6" max="6" width="18.7109375" customWidth="1"/>
    <col min="7" max="14" width="14.7109375" customWidth="1"/>
  </cols>
  <sheetData>
    <row r="1" spans="1:14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73</v>
      </c>
      <c r="B4" s="4"/>
      <c r="C4" s="4"/>
      <c r="D4" s="4" t="s">
        <v>75</v>
      </c>
      <c r="E4" s="4"/>
      <c r="F4" s="4"/>
      <c r="G4" s="4" t="s">
        <v>77</v>
      </c>
      <c r="H4" s="4"/>
      <c r="I4" s="4"/>
      <c r="K4" s="4" t="s">
        <v>78</v>
      </c>
      <c r="L4" s="4"/>
      <c r="M4" s="4"/>
    </row>
    <row r="5" spans="1:14">
      <c r="A5" s="5">
        <f>SUM(tblCampaignMonths[Digital_Leads])+SUM(tblCampaignMonths[Branch_Leads])+SUM(tblCampaignMonths[Partner_Leads])</f>
        <v>165420.0</v>
      </c>
      <c r="B5" s="5"/>
      <c r="C5" s="5"/>
      <c r="D5" s="5">
        <f>SUM(tblCampaigns[Sold])</f>
        <v>4591.0</v>
      </c>
      <c r="E5" s="5"/>
      <c r="F5" s="5"/>
      <c r="G5" s="6">
        <f>SUM(tblCampaigns[Volume_PLN])</f>
        <v>83018000.0</v>
      </c>
      <c r="H5" s="5"/>
      <c r="I5" s="5"/>
      <c r="K5" s="7">
        <f>AVERAGE(tblCampaigns[ROI])</f>
        <v>4.8012500000000005</v>
      </c>
      <c r="L5" s="5"/>
      <c r="M5" s="5"/>
    </row>
    <row r="6" spans="1:14">
      <c r="A6" s="5"/>
      <c r="B6" s="5"/>
      <c r="C6" s="5"/>
      <c r="D6" s="5"/>
      <c r="E6" s="5"/>
      <c r="F6" s="5"/>
      <c r="G6" s="5"/>
      <c r="H6" s="5"/>
      <c r="I6" s="5"/>
      <c r="K6" s="5"/>
      <c r="L6" s="5"/>
      <c r="M6" s="5"/>
    </row>
    <row r="7" spans="1:14">
      <c r="A7" s="3" t="s">
        <v>74</v>
      </c>
      <c r="B7" s="3"/>
      <c r="C7" s="3"/>
      <c r="D7" s="3" t="s">
        <v>76</v>
      </c>
      <c r="E7" s="3"/>
      <c r="F7" s="3"/>
      <c r="G7" s="3" t="s">
        <v>76</v>
      </c>
      <c r="H7" s="3"/>
      <c r="I7" s="3"/>
      <c r="K7" s="3" t="s">
        <v>76</v>
      </c>
      <c r="L7" s="3"/>
      <c r="M7" s="3"/>
    </row>
    <row r="9" spans="1:14">
      <c r="A9" s="8" t="s">
        <v>79</v>
      </c>
      <c r="B9" s="8"/>
      <c r="C9" s="8"/>
      <c r="D9" s="8"/>
      <c r="E9" s="8"/>
      <c r="F9" s="8"/>
      <c r="H9" s="8" t="s">
        <v>81</v>
      </c>
      <c r="I9" s="8"/>
      <c r="J9" s="8"/>
      <c r="K9" s="8"/>
    </row>
    <row r="10" spans="1:14">
      <c r="A10" t="s">
        <v>4</v>
      </c>
      <c r="B10" t="s">
        <v>5</v>
      </c>
      <c r="C10" t="s">
        <v>6</v>
      </c>
      <c r="D10" t="s">
        <v>10</v>
      </c>
      <c r="E10" t="s">
        <v>80</v>
      </c>
      <c r="F10" t="s">
        <v>14</v>
      </c>
      <c r="H10" t="s">
        <v>59</v>
      </c>
      <c r="I10" t="s">
        <v>60</v>
      </c>
      <c r="J10" t="s">
        <v>82</v>
      </c>
    </row>
    <row r="11" spans="1:14">
      <c r="A11" s="9" t="s">
        <v>16</v>
      </c>
      <c r="B11" s="9" t="s">
        <v>17</v>
      </c>
      <c r="C11" s="9" t="s">
        <v>18</v>
      </c>
      <c r="D11" s="10">
        <v>1010</v>
      </c>
      <c r="E11" s="11">
        <v>0</v>
      </c>
      <c r="F11" s="12">
        <v>3.41</v>
      </c>
      <c r="H11" s="9" t="s">
        <v>7</v>
      </c>
      <c r="I11" s="10">
        <v>36840</v>
      </c>
      <c r="J11" s="13">
        <v>1</v>
      </c>
    </row>
    <row r="12" spans="1:14">
      <c r="A12" s="9" t="s">
        <v>20</v>
      </c>
      <c r="B12" s="9" t="s">
        <v>21</v>
      </c>
      <c r="C12" s="9" t="s">
        <v>22</v>
      </c>
      <c r="D12" s="10">
        <v>612</v>
      </c>
      <c r="E12" s="11">
        <v>8160000</v>
      </c>
      <c r="F12" s="12">
        <v>4.75</v>
      </c>
      <c r="H12" s="9" t="s">
        <v>62</v>
      </c>
      <c r="I12" s="10">
        <v>14820</v>
      </c>
      <c r="J12" s="13">
        <v>0.4024</v>
      </c>
    </row>
    <row r="13" spans="1:14">
      <c r="A13" s="9" t="s">
        <v>24</v>
      </c>
      <c r="B13" s="9" t="s">
        <v>17</v>
      </c>
      <c r="C13" s="9" t="s">
        <v>25</v>
      </c>
      <c r="D13" s="10">
        <v>748</v>
      </c>
      <c r="E13" s="11">
        <v>2244000</v>
      </c>
      <c r="F13" s="12">
        <v>5.08</v>
      </c>
      <c r="H13" s="9" t="s">
        <v>8</v>
      </c>
      <c r="I13" s="10">
        <v>6690</v>
      </c>
      <c r="J13" s="13">
        <v>0.4514</v>
      </c>
    </row>
    <row r="14" spans="1:14">
      <c r="A14" s="9" t="s">
        <v>27</v>
      </c>
      <c r="B14" s="9" t="s">
        <v>28</v>
      </c>
      <c r="C14" s="9" t="s">
        <v>29</v>
      </c>
      <c r="D14" s="10">
        <v>168</v>
      </c>
      <c r="E14" s="11">
        <v>45360000</v>
      </c>
      <c r="F14" s="12">
        <v>3.28</v>
      </c>
      <c r="H14" s="9" t="s">
        <v>9</v>
      </c>
      <c r="I14" s="10">
        <v>3846</v>
      </c>
      <c r="J14" s="13">
        <v>0.5749</v>
      </c>
    </row>
    <row r="15" spans="1:14">
      <c r="A15" s="9" t="s">
        <v>31</v>
      </c>
      <c r="B15" s="9" t="s">
        <v>17</v>
      </c>
      <c r="C15" s="9" t="s">
        <v>32</v>
      </c>
      <c r="D15" s="10">
        <v>326</v>
      </c>
      <c r="E15" s="11">
        <v>9780000</v>
      </c>
      <c r="F15" s="12">
        <v>4.9</v>
      </c>
      <c r="H15" s="9" t="s">
        <v>10</v>
      </c>
      <c r="I15" s="10">
        <v>2591</v>
      </c>
      <c r="J15" s="13">
        <v>0.6737</v>
      </c>
    </row>
    <row r="16" spans="1:14">
      <c r="A16" s="9" t="s">
        <v>34</v>
      </c>
      <c r="B16" s="9" t="s">
        <v>35</v>
      </c>
      <c r="C16" s="9" t="s">
        <v>36</v>
      </c>
      <c r="D16" s="10">
        <v>119</v>
      </c>
      <c r="E16" s="11">
        <v>14756000</v>
      </c>
      <c r="F16" s="12">
        <v>5.12</v>
      </c>
    </row>
    <row r="17" spans="1:13">
      <c r="A17" s="9" t="s">
        <v>38</v>
      </c>
      <c r="B17" s="9" t="s">
        <v>21</v>
      </c>
      <c r="C17" s="9" t="s">
        <v>18</v>
      </c>
      <c r="D17" s="10">
        <v>702</v>
      </c>
      <c r="E17" s="11">
        <v>0</v>
      </c>
      <c r="F17" s="12">
        <v>3.96</v>
      </c>
    </row>
    <row r="18" spans="1:13">
      <c r="A18" s="9" t="s">
        <v>40</v>
      </c>
      <c r="B18" s="9" t="s">
        <v>41</v>
      </c>
      <c r="C18" s="9" t="s">
        <v>25</v>
      </c>
      <c r="D18" s="10">
        <v>906</v>
      </c>
      <c r="E18" s="11">
        <v>2718000</v>
      </c>
      <c r="F18" s="12">
        <v>7.91</v>
      </c>
    </row>
    <row r="21" spans="1:13">
      <c r="A21" s="8" t="s">
        <v>83</v>
      </c>
      <c r="B21" s="8"/>
      <c r="C21" s="8"/>
      <c r="D21" s="8"/>
      <c r="E21" s="8"/>
      <c r="F21" s="8"/>
      <c r="H21" s="8" t="s">
        <v>88</v>
      </c>
      <c r="I21" s="8"/>
      <c r="J21" s="8"/>
      <c r="K21" s="8"/>
      <c r="L21" s="8"/>
      <c r="M21" s="8"/>
    </row>
    <row r="22" spans="1:13">
      <c r="A22" t="s">
        <v>42</v>
      </c>
      <c r="B22" t="s">
        <v>84</v>
      </c>
      <c r="C22" t="s">
        <v>85</v>
      </c>
      <c r="D22" t="s">
        <v>86</v>
      </c>
      <c r="E22" t="s">
        <v>87</v>
      </c>
      <c r="F22" t="s">
        <v>80</v>
      </c>
      <c r="H22" t="s">
        <v>63</v>
      </c>
      <c r="I22" t="s">
        <v>89</v>
      </c>
      <c r="J22" t="s">
        <v>90</v>
      </c>
      <c r="K22" t="s">
        <v>80</v>
      </c>
      <c r="L22" t="s">
        <v>91</v>
      </c>
      <c r="M22" t="s">
        <v>92</v>
      </c>
    </row>
    <row r="23" spans="1:13">
      <c r="A23" s="9" t="s">
        <v>47</v>
      </c>
      <c r="B23" s="10">
        <v>6200</v>
      </c>
      <c r="C23" s="10">
        <v>3200</v>
      </c>
      <c r="D23" s="10">
        <v>1100</v>
      </c>
      <c r="E23" s="10">
        <v>148</v>
      </c>
      <c r="F23" s="11">
        <v>4820000</v>
      </c>
      <c r="H23" s="9" t="s">
        <v>68</v>
      </c>
      <c r="I23" s="10">
        <v>1860</v>
      </c>
      <c r="J23" s="10">
        <v>1154</v>
      </c>
      <c r="K23" s="11">
        <v>14280000</v>
      </c>
      <c r="L23" s="11">
        <v>12375</v>
      </c>
      <c r="M23" s="13">
        <v>0.182</v>
      </c>
    </row>
    <row r="24" spans="1:13">
      <c r="A24" s="9" t="s">
        <v>48</v>
      </c>
      <c r="B24" s="10">
        <v>6500</v>
      </c>
      <c r="C24" s="10">
        <v>3340</v>
      </c>
      <c r="D24" s="10">
        <v>1160</v>
      </c>
      <c r="E24" s="10">
        <v>156</v>
      </c>
      <c r="F24" s="11">
        <v>5110000</v>
      </c>
      <c r="H24" s="9" t="s">
        <v>69</v>
      </c>
      <c r="I24" s="10">
        <v>642</v>
      </c>
      <c r="J24" s="10">
        <v>512</v>
      </c>
      <c r="K24" s="11">
        <v>19840000</v>
      </c>
      <c r="L24" s="11">
        <v>38750</v>
      </c>
      <c r="M24" s="13">
        <v>0.316</v>
      </c>
    </row>
    <row r="25" spans="1:13">
      <c r="A25" s="9" t="s">
        <v>49</v>
      </c>
      <c r="B25" s="10">
        <v>7180</v>
      </c>
      <c r="C25" s="10">
        <v>3620</v>
      </c>
      <c r="D25" s="10">
        <v>1240</v>
      </c>
      <c r="E25" s="10">
        <v>174</v>
      </c>
      <c r="F25" s="11">
        <v>5740000</v>
      </c>
      <c r="H25" s="9" t="s">
        <v>70</v>
      </c>
      <c r="I25" s="10">
        <v>1134</v>
      </c>
      <c r="J25" s="10">
        <v>824</v>
      </c>
      <c r="K25" s="11">
        <v>4960000</v>
      </c>
      <c r="L25" s="11">
        <v>6020</v>
      </c>
      <c r="M25" s="13">
        <v>0.247</v>
      </c>
    </row>
    <row r="26" spans="1:13">
      <c r="A26" s="9" t="s">
        <v>50</v>
      </c>
      <c r="B26" s="10">
        <v>6900</v>
      </c>
      <c r="C26" s="10">
        <v>3510</v>
      </c>
      <c r="D26" s="10">
        <v>1210</v>
      </c>
      <c r="E26" s="10">
        <v>165</v>
      </c>
      <c r="F26" s="11">
        <v>5410000</v>
      </c>
      <c r="H26" s="9" t="s">
        <v>71</v>
      </c>
      <c r="I26" s="10">
        <v>884</v>
      </c>
      <c r="J26" s="10">
        <v>624</v>
      </c>
      <c r="K26" s="11">
        <v>18460000</v>
      </c>
      <c r="L26" s="11">
        <v>29585</v>
      </c>
      <c r="M26" s="13">
        <v>0.204</v>
      </c>
    </row>
    <row r="27" spans="1:13">
      <c r="A27" s="9" t="s">
        <v>51</v>
      </c>
      <c r="B27" s="10">
        <v>7540</v>
      </c>
      <c r="C27" s="10">
        <v>3860</v>
      </c>
      <c r="D27" s="10">
        <v>1320</v>
      </c>
      <c r="E27" s="10">
        <v>183</v>
      </c>
      <c r="F27" s="11">
        <v>6020000</v>
      </c>
      <c r="H27" s="9" t="s">
        <v>72</v>
      </c>
      <c r="I27" s="10">
        <v>392</v>
      </c>
      <c r="J27" s="10">
        <v>286</v>
      </c>
      <c r="K27" s="11">
        <v>15220000</v>
      </c>
      <c r="L27" s="11">
        <v>53150</v>
      </c>
      <c r="M27" s="13">
        <v>0.228</v>
      </c>
    </row>
    <row r="28" spans="1:13">
      <c r="A28" s="9" t="s">
        <v>52</v>
      </c>
      <c r="B28" s="10">
        <v>8120</v>
      </c>
      <c r="C28" s="10">
        <v>4120</v>
      </c>
      <c r="D28" s="10">
        <v>1410</v>
      </c>
      <c r="E28" s="10">
        <v>201</v>
      </c>
      <c r="F28" s="11">
        <v>6680000</v>
      </c>
    </row>
    <row r="29" spans="1:13">
      <c r="A29" s="9" t="s">
        <v>53</v>
      </c>
      <c r="B29" s="10">
        <v>7980</v>
      </c>
      <c r="C29" s="10">
        <v>4040</v>
      </c>
      <c r="D29" s="10">
        <v>1380</v>
      </c>
      <c r="E29" s="10">
        <v>194</v>
      </c>
      <c r="F29" s="11">
        <v>6410000</v>
      </c>
    </row>
    <row r="30" spans="1:13">
      <c r="A30" s="9" t="s">
        <v>54</v>
      </c>
      <c r="B30" s="10">
        <v>8460</v>
      </c>
      <c r="C30" s="10">
        <v>4290</v>
      </c>
      <c r="D30" s="10">
        <v>1470</v>
      </c>
      <c r="E30" s="10">
        <v>211</v>
      </c>
      <c r="F30" s="11">
        <v>7040000</v>
      </c>
    </row>
    <row r="31" spans="1:13">
      <c r="A31" s="9" t="s">
        <v>55</v>
      </c>
      <c r="B31" s="10">
        <v>9020</v>
      </c>
      <c r="C31" s="10">
        <v>4560</v>
      </c>
      <c r="D31" s="10">
        <v>1520</v>
      </c>
      <c r="E31" s="10">
        <v>226</v>
      </c>
      <c r="F31" s="11">
        <v>7580000</v>
      </c>
    </row>
    <row r="32" spans="1:13">
      <c r="A32" s="9" t="s">
        <v>56</v>
      </c>
      <c r="B32" s="10">
        <v>9460</v>
      </c>
      <c r="C32" s="10">
        <v>4780</v>
      </c>
      <c r="D32" s="10">
        <v>1610</v>
      </c>
      <c r="E32" s="10">
        <v>241</v>
      </c>
      <c r="F32" s="11">
        <v>8040000</v>
      </c>
    </row>
    <row r="33" spans="1:6">
      <c r="A33" s="9" t="s">
        <v>57</v>
      </c>
      <c r="B33" s="10">
        <v>10120</v>
      </c>
      <c r="C33" s="10">
        <v>5120</v>
      </c>
      <c r="D33" s="10">
        <v>1740</v>
      </c>
      <c r="E33" s="10">
        <v>258</v>
      </c>
      <c r="F33" s="11">
        <v>8660000</v>
      </c>
    </row>
    <row r="34" spans="1:6">
      <c r="A34" s="9" t="s">
        <v>58</v>
      </c>
      <c r="B34" s="10">
        <v>10980</v>
      </c>
      <c r="C34" s="10">
        <v>5480</v>
      </c>
      <c r="D34" s="10">
        <v>1880</v>
      </c>
      <c r="E34" s="10">
        <v>287</v>
      </c>
      <c r="F34" s="11">
        <v>9680000</v>
      </c>
    </row>
  </sheetData>
  <mergeCells count="19">
    <mergeCell ref="A1:N1"/>
    <mergeCell ref="A2:N2"/>
    <mergeCell ref="A3:N3"/>
    <mergeCell ref="A4:C4"/>
    <mergeCell ref="A5:C6"/>
    <mergeCell ref="A7:C7"/>
    <mergeCell ref="D4:F4"/>
    <mergeCell ref="D5:F6"/>
    <mergeCell ref="D7:F7"/>
    <mergeCell ref="G4:I4"/>
    <mergeCell ref="G5:I6"/>
    <mergeCell ref="G7:I7"/>
    <mergeCell ref="K4:M4"/>
    <mergeCell ref="K5:M6"/>
    <mergeCell ref="K7:M7"/>
    <mergeCell ref="A9:F9"/>
    <mergeCell ref="H9:K9"/>
    <mergeCell ref="A21:F21"/>
    <mergeCell ref="H21:M21"/>
  </mergeCells>
  <conditionalFormatting sqref="I11:I15">
    <cfRule type="dataBar" priority="1">
      <dataBar>
        <cfvo type="min" val="0"/>
        <cfvo type="max" val="0"/>
        <color rgb="FFE8892F"/>
      </dataBar>
    </cfRule>
  </conditionalFormatting>
  <pageMargins left="0.25" right="0.25" top="0.35" bottom="0.35" header="0.3" footer="0.3"/>
  <pageSetup orientation="landscape"/>
  <headerFooter>
    <oddHeader>&amp;LJustyBase banking reporting fixture&amp;R&amp;"Calibri,Bold"Dashboard</oddHeader>
    <oddFooter>&amp;LGenerated synthetic example&amp;RPage &amp;P of &amp;N</oddFooter>
  </headerFooter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5B5"/>
    <pageSetUpPr fitToPage="1"/>
  </sheetPr>
  <dimension ref="A1:L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3" width="12.7109375" customWidth="1"/>
    <col min="4" max="4" width="13.7109375" customWidth="1"/>
    <col min="5" max="5" width="12.7109375" customWidth="1"/>
    <col min="6" max="6" width="14.7109375" customWidth="1"/>
    <col min="7" max="10" width="12.7109375" customWidth="1"/>
    <col min="11" max="11" width="17.7109375" customWidth="1"/>
    <col min="12" max="12" width="12.7109375" customWidth="1"/>
  </cols>
  <sheetData>
    <row r="1" spans="1:1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>
      <c r="A2" s="14" t="s">
        <v>15</v>
      </c>
      <c r="B2" s="14" t="s">
        <v>16</v>
      </c>
      <c r="C2" s="14" t="s">
        <v>17</v>
      </c>
      <c r="D2" s="14" t="s">
        <v>18</v>
      </c>
      <c r="E2" s="15">
        <v>5200</v>
      </c>
      <c r="F2" s="15">
        <v>1840</v>
      </c>
      <c r="G2" s="15">
        <v>1250</v>
      </c>
      <c r="H2" s="15">
        <v>1010</v>
      </c>
      <c r="I2" s="16">
        <v>0</v>
      </c>
      <c r="J2" s="16">
        <v>185000</v>
      </c>
      <c r="K2" s="17">
        <v>0.194</v>
      </c>
      <c r="L2" s="18">
        <v>3.41</v>
      </c>
    </row>
    <row r="3" spans="1:12">
      <c r="A3" s="14" t="s">
        <v>19</v>
      </c>
      <c r="B3" s="14" t="s">
        <v>20</v>
      </c>
      <c r="C3" s="14" t="s">
        <v>21</v>
      </c>
      <c r="D3" s="14" t="s">
        <v>22</v>
      </c>
      <c r="E3" s="15">
        <v>3120</v>
      </c>
      <c r="F3" s="15">
        <v>1280</v>
      </c>
      <c r="G3" s="15">
        <v>774</v>
      </c>
      <c r="H3" s="15">
        <v>612</v>
      </c>
      <c r="I3" s="16">
        <v>8160000</v>
      </c>
      <c r="J3" s="16">
        <v>142000</v>
      </c>
      <c r="K3" s="17">
        <v>0.196</v>
      </c>
      <c r="L3" s="18">
        <v>4.75</v>
      </c>
    </row>
    <row r="4" spans="1:12">
      <c r="A4" s="14" t="s">
        <v>23</v>
      </c>
      <c r="B4" s="14" t="s">
        <v>24</v>
      </c>
      <c r="C4" s="14" t="s">
        <v>17</v>
      </c>
      <c r="D4" s="14" t="s">
        <v>25</v>
      </c>
      <c r="E4" s="15">
        <v>4680</v>
      </c>
      <c r="F4" s="15">
        <v>1620</v>
      </c>
      <c r="G4" s="15">
        <v>936</v>
      </c>
      <c r="H4" s="15">
        <v>748</v>
      </c>
      <c r="I4" s="16">
        <v>2244000</v>
      </c>
      <c r="J4" s="16">
        <v>98000</v>
      </c>
      <c r="K4" s="17">
        <v>0.16</v>
      </c>
      <c r="L4" s="18">
        <v>5.08</v>
      </c>
    </row>
    <row r="5" spans="1:12">
      <c r="A5" s="14" t="s">
        <v>26</v>
      </c>
      <c r="B5" s="14" t="s">
        <v>27</v>
      </c>
      <c r="C5" s="14" t="s">
        <v>28</v>
      </c>
      <c r="D5" s="14" t="s">
        <v>29</v>
      </c>
      <c r="E5" s="15">
        <v>880</v>
      </c>
      <c r="F5" s="15">
        <v>402</v>
      </c>
      <c r="G5" s="15">
        <v>221</v>
      </c>
      <c r="H5" s="15">
        <v>168</v>
      </c>
      <c r="I5" s="16">
        <v>45360000</v>
      </c>
      <c r="J5" s="16">
        <v>265000</v>
      </c>
      <c r="K5" s="17">
        <v>0.191</v>
      </c>
      <c r="L5" s="18">
        <v>3.28</v>
      </c>
    </row>
    <row r="6" spans="1:12">
      <c r="A6" s="14" t="s">
        <v>30</v>
      </c>
      <c r="B6" s="14" t="s">
        <v>31</v>
      </c>
      <c r="C6" s="14" t="s">
        <v>17</v>
      </c>
      <c r="D6" s="14" t="s">
        <v>32</v>
      </c>
      <c r="E6" s="15">
        <v>1960</v>
      </c>
      <c r="F6" s="15">
        <v>748</v>
      </c>
      <c r="G6" s="15">
        <v>431</v>
      </c>
      <c r="H6" s="15">
        <v>326</v>
      </c>
      <c r="I6" s="16">
        <v>9780000</v>
      </c>
      <c r="J6" s="16">
        <v>111000</v>
      </c>
      <c r="K6" s="17">
        <v>0.166</v>
      </c>
      <c r="L6" s="18">
        <v>4.9</v>
      </c>
    </row>
    <row r="7" spans="1:12">
      <c r="A7" s="14" t="s">
        <v>33</v>
      </c>
      <c r="B7" s="14" t="s">
        <v>34</v>
      </c>
      <c r="C7" s="14" t="s">
        <v>35</v>
      </c>
      <c r="D7" s="14" t="s">
        <v>36</v>
      </c>
      <c r="E7" s="15">
        <v>720</v>
      </c>
      <c r="F7" s="15">
        <v>286</v>
      </c>
      <c r="G7" s="15">
        <v>178</v>
      </c>
      <c r="H7" s="15">
        <v>119</v>
      </c>
      <c r="I7" s="16">
        <v>14756000</v>
      </c>
      <c r="J7" s="16">
        <v>92000</v>
      </c>
      <c r="K7" s="17">
        <v>0.165</v>
      </c>
      <c r="L7" s="18">
        <v>5.12</v>
      </c>
    </row>
    <row r="8" spans="1:12">
      <c r="A8" s="14" t="s">
        <v>37</v>
      </c>
      <c r="B8" s="14" t="s">
        <v>38</v>
      </c>
      <c r="C8" s="14" t="s">
        <v>21</v>
      </c>
      <c r="D8" s="14" t="s">
        <v>18</v>
      </c>
      <c r="E8" s="15">
        <v>2840</v>
      </c>
      <c r="F8" s="15">
        <v>1120</v>
      </c>
      <c r="G8" s="15">
        <v>844</v>
      </c>
      <c r="H8" s="15">
        <v>702</v>
      </c>
      <c r="I8" s="16">
        <v>0</v>
      </c>
      <c r="J8" s="16">
        <v>88000</v>
      </c>
      <c r="K8" s="17">
        <v>0.247</v>
      </c>
      <c r="L8" s="18">
        <v>3.96</v>
      </c>
    </row>
    <row r="9" spans="1:12">
      <c r="A9" s="14" t="s">
        <v>39</v>
      </c>
      <c r="B9" s="14" t="s">
        <v>40</v>
      </c>
      <c r="C9" s="14" t="s">
        <v>41</v>
      </c>
      <c r="D9" s="14" t="s">
        <v>25</v>
      </c>
      <c r="E9" s="15">
        <v>3540</v>
      </c>
      <c r="F9" s="15">
        <v>1388</v>
      </c>
      <c r="G9" s="15">
        <v>1012</v>
      </c>
      <c r="H9" s="15">
        <v>906</v>
      </c>
      <c r="I9" s="16">
        <v>2718000</v>
      </c>
      <c r="J9" s="16">
        <v>76000</v>
      </c>
      <c r="K9" s="17">
        <v>0.256</v>
      </c>
      <c r="L9" s="18">
        <v>7.91</v>
      </c>
    </row>
  </sheetData>
  <conditionalFormatting sqref="E2:E9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F2:F9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G2:G9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H2:H9">
    <cfRule type="colorScale" priority="4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I2:I9">
    <cfRule type="colorScale" priority="5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K2:K9">
    <cfRule type="colorScale" priority="6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L2:L9">
    <cfRule type="colorScale" priority="7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Raw_Campaigns&amp;RPage &amp;P of &amp;N</oddHeader>
    <oddFooter>&amp;LJustyBase dashboard fixture&amp;RConfidential synthetic data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7D92"/>
    <pageSetUpPr fitToPage="1"/>
  </sheetPr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4.7109375" customWidth="1"/>
    <col min="4" max="4" width="15.7109375" customWidth="1"/>
    <col min="5" max="5" width="13.7109375" customWidth="1"/>
    <col min="6" max="6" width="12.7109375" customWidth="1"/>
  </cols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11</v>
      </c>
    </row>
    <row r="2" spans="1:6">
      <c r="A2" s="14" t="s">
        <v>47</v>
      </c>
      <c r="B2" s="15">
        <v>6200</v>
      </c>
      <c r="C2" s="15">
        <v>3200</v>
      </c>
      <c r="D2" s="15">
        <v>1100</v>
      </c>
      <c r="E2" s="15">
        <v>148</v>
      </c>
      <c r="F2" s="16">
        <v>4820000</v>
      </c>
    </row>
    <row r="3" spans="1:6">
      <c r="A3" s="14" t="s">
        <v>48</v>
      </c>
      <c r="B3" s="15">
        <v>6500</v>
      </c>
      <c r="C3" s="15">
        <v>3340</v>
      </c>
      <c r="D3" s="15">
        <v>1160</v>
      </c>
      <c r="E3" s="15">
        <v>156</v>
      </c>
      <c r="F3" s="16">
        <v>5110000</v>
      </c>
    </row>
    <row r="4" spans="1:6">
      <c r="A4" s="14" t="s">
        <v>49</v>
      </c>
      <c r="B4" s="15">
        <v>7180</v>
      </c>
      <c r="C4" s="15">
        <v>3620</v>
      </c>
      <c r="D4" s="15">
        <v>1240</v>
      </c>
      <c r="E4" s="15">
        <v>174</v>
      </c>
      <c r="F4" s="16">
        <v>5740000</v>
      </c>
    </row>
    <row r="5" spans="1:6">
      <c r="A5" s="14" t="s">
        <v>50</v>
      </c>
      <c r="B5" s="15">
        <v>6900</v>
      </c>
      <c r="C5" s="15">
        <v>3510</v>
      </c>
      <c r="D5" s="15">
        <v>1210</v>
      </c>
      <c r="E5" s="15">
        <v>165</v>
      </c>
      <c r="F5" s="16">
        <v>5410000</v>
      </c>
    </row>
    <row r="6" spans="1:6">
      <c r="A6" s="14" t="s">
        <v>51</v>
      </c>
      <c r="B6" s="15">
        <v>7540</v>
      </c>
      <c r="C6" s="15">
        <v>3860</v>
      </c>
      <c r="D6" s="15">
        <v>1320</v>
      </c>
      <c r="E6" s="15">
        <v>183</v>
      </c>
      <c r="F6" s="16">
        <v>6020000</v>
      </c>
    </row>
    <row r="7" spans="1:6">
      <c r="A7" s="14" t="s">
        <v>52</v>
      </c>
      <c r="B7" s="15">
        <v>8120</v>
      </c>
      <c r="C7" s="15">
        <v>4120</v>
      </c>
      <c r="D7" s="15">
        <v>1410</v>
      </c>
      <c r="E7" s="15">
        <v>201</v>
      </c>
      <c r="F7" s="16">
        <v>6680000</v>
      </c>
    </row>
    <row r="8" spans="1:6">
      <c r="A8" s="14" t="s">
        <v>53</v>
      </c>
      <c r="B8" s="15">
        <v>7980</v>
      </c>
      <c r="C8" s="15">
        <v>4040</v>
      </c>
      <c r="D8" s="15">
        <v>1380</v>
      </c>
      <c r="E8" s="15">
        <v>194</v>
      </c>
      <c r="F8" s="16">
        <v>6410000</v>
      </c>
    </row>
    <row r="9" spans="1:6">
      <c r="A9" s="14" t="s">
        <v>54</v>
      </c>
      <c r="B9" s="15">
        <v>8460</v>
      </c>
      <c r="C9" s="15">
        <v>4290</v>
      </c>
      <c r="D9" s="15">
        <v>1470</v>
      </c>
      <c r="E9" s="15">
        <v>211</v>
      </c>
      <c r="F9" s="16">
        <v>7040000</v>
      </c>
    </row>
    <row r="10" spans="1:6">
      <c r="A10" s="14" t="s">
        <v>55</v>
      </c>
      <c r="B10" s="15">
        <v>9020</v>
      </c>
      <c r="C10" s="15">
        <v>4560</v>
      </c>
      <c r="D10" s="15">
        <v>1520</v>
      </c>
      <c r="E10" s="15">
        <v>226</v>
      </c>
      <c r="F10" s="16">
        <v>7580000</v>
      </c>
    </row>
    <row r="11" spans="1:6">
      <c r="A11" s="14" t="s">
        <v>56</v>
      </c>
      <c r="B11" s="15">
        <v>9460</v>
      </c>
      <c r="C11" s="15">
        <v>4780</v>
      </c>
      <c r="D11" s="15">
        <v>1610</v>
      </c>
      <c r="E11" s="15">
        <v>241</v>
      </c>
      <c r="F11" s="16">
        <v>8040000</v>
      </c>
    </row>
    <row r="12" spans="1:6">
      <c r="A12" s="14" t="s">
        <v>57</v>
      </c>
      <c r="B12" s="15">
        <v>10120</v>
      </c>
      <c r="C12" s="15">
        <v>5120</v>
      </c>
      <c r="D12" s="15">
        <v>1740</v>
      </c>
      <c r="E12" s="15">
        <v>258</v>
      </c>
      <c r="F12" s="16">
        <v>8660000</v>
      </c>
    </row>
    <row r="13" spans="1:6">
      <c r="A13" s="14" t="s">
        <v>58</v>
      </c>
      <c r="B13" s="15">
        <v>10980</v>
      </c>
      <c r="C13" s="15">
        <v>5480</v>
      </c>
      <c r="D13" s="15">
        <v>1880</v>
      </c>
      <c r="E13" s="15">
        <v>287</v>
      </c>
      <c r="F13" s="16">
        <v>9680000</v>
      </c>
    </row>
  </sheetData>
  <conditionalFormatting sqref="B2:B13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C2:C13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D2:D13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E2:E13">
    <cfRule type="colorScale" priority="4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F2:F13">
    <cfRule type="colorScale" priority="5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Raw_Monthly_Campaigns&amp;RPage &amp;P of &amp;N</oddHeader>
    <oddFooter>&amp;LJustyBase dashboard fixture&amp;RConfidential synthetic data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8892F"/>
    <pageSetUpPr fitToPage="1"/>
  </sheetPr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24.7109375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s="14" t="s">
        <v>7</v>
      </c>
      <c r="B2" s="15">
        <v>36840</v>
      </c>
      <c r="C2" s="17">
        <v>1</v>
      </c>
    </row>
    <row r="3" spans="1:3">
      <c r="A3" s="14" t="s">
        <v>62</v>
      </c>
      <c r="B3" s="15">
        <v>14820</v>
      </c>
      <c r="C3" s="17">
        <v>0.4024</v>
      </c>
    </row>
    <row r="4" spans="1:3">
      <c r="A4" s="14" t="s">
        <v>8</v>
      </c>
      <c r="B4" s="15">
        <v>6690</v>
      </c>
      <c r="C4" s="17">
        <v>0.4514</v>
      </c>
    </row>
    <row r="5" spans="1:3">
      <c r="A5" s="14" t="s">
        <v>9</v>
      </c>
      <c r="B5" s="15">
        <v>3846</v>
      </c>
      <c r="C5" s="17">
        <v>0.5749</v>
      </c>
    </row>
    <row r="6" spans="1:3">
      <c r="A6" s="14" t="s">
        <v>10</v>
      </c>
      <c r="B6" s="15">
        <v>2591</v>
      </c>
      <c r="C6" s="17">
        <v>0.6737</v>
      </c>
    </row>
  </sheetData>
  <conditionalFormatting sqref="B2:B6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Raw_Funnel&amp;RPage &amp;P of &amp;N</oddHeader>
    <oddFooter>&amp;LJustyBase dashboard fixture&amp;RConfidential synthetic data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7A54"/>
    <pageSetUpPr fitToPage="1"/>
  </sheetPr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14.7109375" customWidth="1"/>
    <col min="4" max="4" width="12.7109375" customWidth="1"/>
    <col min="5" max="5" width="16.7109375" customWidth="1"/>
    <col min="6" max="6" width="17.7109375" customWidth="1"/>
  </cols>
  <sheetData>
    <row r="1" spans="1:6">
      <c r="A1" t="s">
        <v>63</v>
      </c>
      <c r="B1" t="s">
        <v>64</v>
      </c>
      <c r="C1" t="s">
        <v>65</v>
      </c>
      <c r="D1" t="s">
        <v>11</v>
      </c>
      <c r="E1" t="s">
        <v>66</v>
      </c>
      <c r="F1" t="s">
        <v>67</v>
      </c>
    </row>
    <row r="2" spans="1:6">
      <c r="A2" s="14" t="s">
        <v>68</v>
      </c>
      <c r="B2" s="14">
        <v>1860</v>
      </c>
      <c r="C2" s="15">
        <v>1154</v>
      </c>
      <c r="D2" s="16">
        <v>14280000</v>
      </c>
      <c r="E2" s="16">
        <v>12375</v>
      </c>
      <c r="F2" s="17">
        <v>0.182</v>
      </c>
    </row>
    <row r="3" spans="1:6">
      <c r="A3" s="14" t="s">
        <v>69</v>
      </c>
      <c r="B3" s="14">
        <v>642</v>
      </c>
      <c r="C3" s="15">
        <v>512</v>
      </c>
      <c r="D3" s="16">
        <v>19840000</v>
      </c>
      <c r="E3" s="16">
        <v>38750</v>
      </c>
      <c r="F3" s="17">
        <v>0.316</v>
      </c>
    </row>
    <row r="4" spans="1:6">
      <c r="A4" s="14" t="s">
        <v>70</v>
      </c>
      <c r="B4" s="14">
        <v>1134</v>
      </c>
      <c r="C4" s="15">
        <v>824</v>
      </c>
      <c r="D4" s="16">
        <v>4960000</v>
      </c>
      <c r="E4" s="16">
        <v>6020</v>
      </c>
      <c r="F4" s="17">
        <v>0.247</v>
      </c>
    </row>
    <row r="5" spans="1:6">
      <c r="A5" s="14" t="s">
        <v>71</v>
      </c>
      <c r="B5" s="14">
        <v>884</v>
      </c>
      <c r="C5" s="15">
        <v>624</v>
      </c>
      <c r="D5" s="16">
        <v>18460000</v>
      </c>
      <c r="E5" s="16">
        <v>29585</v>
      </c>
      <c r="F5" s="17">
        <v>0.204</v>
      </c>
    </row>
    <row r="6" spans="1:6">
      <c r="A6" s="14" t="s">
        <v>72</v>
      </c>
      <c r="B6" s="14">
        <v>392</v>
      </c>
      <c r="C6" s="15">
        <v>286</v>
      </c>
      <c r="D6" s="16">
        <v>15220000</v>
      </c>
      <c r="E6" s="16">
        <v>53150</v>
      </c>
      <c r="F6" s="17">
        <v>0.228</v>
      </c>
    </row>
  </sheetData>
  <conditionalFormatting sqref="C2:C6">
    <cfRule type="colorScale" priority="1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D2:D6">
    <cfRule type="colorScale" priority="2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conditionalFormatting sqref="F2:F6">
    <cfRule type="colorScale" priority="3">
      <colorScale>
        <cfvo type="min" val="0"/>
        <cfvo type="percentile" val="50"/>
        <cfvo type="max" val="0"/>
        <color rgb="FFFFF3F6F9"/>
        <color rgb="FFFFB9D7EA"/>
        <color rgb="FFFF2F75B5"/>
      </colorScale>
    </cfRule>
  </conditionalFormatting>
  <pageMargins left="0.7" right="0.7" top="0.75" bottom="0.75" header="0.3" footer="0.3"/>
  <pageSetup fitToHeight="0" orientation="landscape"/>
  <headerFooter>
    <oddHeader>&amp;L&amp;"Calibri,Bold"Raw data: Raw_Segments&amp;RPage &amp;P of &amp;N</oddHeader>
    <oddFooter>&amp;LJustyBase dashboard fixture&amp;RConfidential synthetic data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8892F"/>
  </sheetPr>
  <dimension ref="A1:C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3.7109375" customWidth="1"/>
    <col min="2" max="2" width="28.7109375" customWidth="1"/>
    <col min="3" max="3" width="70.7109375" customWidth="1"/>
  </cols>
  <sheetData>
    <row r="1" spans="1:3" ht="28" customHeight="1">
      <c r="A1" s="1" t="s">
        <v>93</v>
      </c>
      <c r="B1" s="1"/>
      <c r="C1" s="1"/>
    </row>
    <row r="3" spans="1:3">
      <c r="A3" s="19" t="s">
        <v>94</v>
      </c>
      <c r="B3" s="20" t="s">
        <v>95</v>
      </c>
      <c r="C3" s="20"/>
    </row>
    <row r="5" spans="1:3">
      <c r="A5" s="19" t="s">
        <v>96</v>
      </c>
      <c r="B5" s="19" t="s">
        <v>97</v>
      </c>
      <c r="C5" s="19" t="s">
        <v>98</v>
      </c>
    </row>
    <row r="6" spans="1:3">
      <c r="A6" s="20" t="s">
        <v>99</v>
      </c>
      <c r="B6" s="20" t="s">
        <v>100</v>
      </c>
      <c r="C6" s="20" t="s">
        <v>101</v>
      </c>
    </row>
    <row r="7" spans="1:3">
      <c r="A7" s="20" t="s">
        <v>102</v>
      </c>
      <c r="B7" s="20" t="s">
        <v>103</v>
      </c>
      <c r="C7" s="20" t="s">
        <v>104</v>
      </c>
    </row>
    <row r="8" spans="1:3">
      <c r="A8" s="20" t="s">
        <v>105</v>
      </c>
      <c r="B8" s="20" t="s">
        <v>106</v>
      </c>
      <c r="C8" s="20" t="s">
        <v>107</v>
      </c>
    </row>
    <row r="9" spans="1:3">
      <c r="A9" s="20" t="s">
        <v>108</v>
      </c>
      <c r="B9" s="20" t="s">
        <v>109</v>
      </c>
      <c r="C9" s="20" t="s">
        <v>110</v>
      </c>
    </row>
    <row r="12" spans="1:3">
      <c r="A12" s="19" t="s">
        <v>111</v>
      </c>
      <c r="B12" s="21" t="s">
        <v>112</v>
      </c>
      <c r="C12" s="21"/>
    </row>
    <row r="14" spans="1:3">
      <c r="A14" s="19" t="s">
        <v>113</v>
      </c>
      <c r="B14" s="20" t="s">
        <v>114</v>
      </c>
      <c r="C14" s="20"/>
    </row>
    <row r="15" spans="1:3">
      <c r="B15" s="20"/>
      <c r="C15" s="20"/>
    </row>
    <row r="16" spans="1:3">
      <c r="B16" s="20"/>
      <c r="C16" s="20"/>
    </row>
  </sheetData>
  <mergeCells count="4">
    <mergeCell ref="A1:C1"/>
    <mergeCell ref="B3:C3"/>
    <mergeCell ref="B12:C12"/>
    <mergeCell ref="B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21</vt:i4>
      </vt:variant>
    </vt:vector>
  </HeadingPairs>
  <TitlesOfParts>
    <vt:vector size="27" baseType="lpstr">
      <vt:lpstr>Dashboard</vt:lpstr>
      <vt:lpstr>Raw_Campaigns</vt:lpstr>
      <vt:lpstr>Raw_Monthly_Campaigns</vt:lpstr>
      <vt:lpstr>Raw_Funnel</vt:lpstr>
      <vt:lpstr>Raw_Segments</vt:lpstr>
      <vt:lpstr>Model_Guide</vt:lpstr>
      <vt:lpstr>campaign_funnel_Conversion_From_Previous</vt:lpstr>
      <vt:lpstr>campaign_funnel_Count</vt:lpstr>
      <vt:lpstr>campaign_funnel_Stage</vt:lpstr>
      <vt:lpstr>campaign_months_Branch_Leads</vt:lpstr>
      <vt:lpstr>campaign_months_Digital_Leads</vt:lpstr>
      <vt:lpstr>campaign_months_Month</vt:lpstr>
      <vt:lpstr>campaign_months_Partner_Leads</vt:lpstr>
      <vt:lpstr>campaign_months_Total_Sales</vt:lpstr>
      <vt:lpstr>campaign_months_Volume_PLN</vt:lpstr>
      <vt:lpstr>campaigns_Applications</vt:lpstr>
      <vt:lpstr>campaigns_Approved</vt:lpstr>
      <vt:lpstr>campaigns_Campaign</vt:lpstr>
      <vt:lpstr>campaigns_Campaign_ID</vt:lpstr>
      <vt:lpstr>campaigns_Channel</vt:lpstr>
      <vt:lpstr>campaigns_Conversion_Rate</vt:lpstr>
      <vt:lpstr>campaigns_Leads</vt:lpstr>
      <vt:lpstr>campaigns_Product</vt:lpstr>
      <vt:lpstr>campaigns_ROI</vt:lpstr>
      <vt:lpstr>campaigns_Sold</vt:lpstr>
      <vt:lpstr>campaigns_Spend_PLN</vt:lpstr>
      <vt:lpstr>campaigns_Volume_PLN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Campaign Performance</dc:title>
  <dc:subject>Refreshable synthetic campaign dashboard</dc:subject>
  <dc:creator>JustyBase</dc:creator>
  <dc:description>Synthetic data for documentation and tests only.</dc:description>
  <cp:lastModifiedBy>JustyBase</cp:lastModifiedBy>
  <dcterms:created xsi:type="dcterms:W3CDTF">2026-08-29T13:25:35Z</dcterms:created>
  <dcterms:modified xsi:type="dcterms:W3CDTF">2026-08-29T13:25:35Z</dcterms:modified>
</cp:coreProperties>
</file>