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Raw_Branches" sheetId="2" r:id="rId2"/>
    <sheet name="Raw_Advisors" sheetId="3" r:id="rId3"/>
    <sheet name="Raw_Product_Mix" sheetId="4" r:id="rId4"/>
    <sheet name="Raw_CrossSell" sheetId="5" r:id="rId5"/>
    <sheet name="Model_Guide" sheetId="6" r:id="rId6"/>
  </sheets>
  <definedNames>
    <definedName name="advisor_ranking_Advisor">'Raw_Advisors'!$B$2:INDEX('Raw_Advisors'!$B:$B,COUNTA('Raw_Advisors'!$A:$A))</definedName>
    <definedName name="advisor_ranking_Advisor_ID">'Raw_Advisors'!$A$2:INDEX('Raw_Advisors'!$A:$A,COUNTA('Raw_Advisors'!$A:$A))</definedName>
    <definedName name="advisor_ranking_Attainment_Rate">'Raw_Advisors'!$H$2:INDEX('Raw_Advisors'!$H:$H,COUNTA('Raw_Advisors'!$A:$A))</definedName>
    <definedName name="advisor_ranking_Branch_ID">'Raw_Advisors'!$C$2:INDEX('Raw_Advisors'!$C:$C,COUNTA('Raw_Advisors'!$A:$A))</definedName>
    <definedName name="advisor_ranking_Credit_Sales">'Raw_Advisors'!$F$2:INDEX('Raw_Advisors'!$F:$F,COUNTA('Raw_Advisors'!$A:$A))</definedName>
    <definedName name="advisor_ranking_Credit_Volume_PLN">'Raw_Advisors'!$G$2:INDEX('Raw_Advisors'!$G:$G,COUNTA('Raw_Advisors'!$A:$A))</definedName>
    <definedName name="advisor_ranking_Region">'Raw_Advisors'!$D$2:INDEX('Raw_Advisors'!$D:$D,COUNTA('Raw_Advisors'!$A:$A))</definedName>
    <definedName name="advisor_ranking_ROR_Sales">'Raw_Advisors'!$E$2:INDEX('Raw_Advisors'!$E:$E,COUNTA('Raw_Advisors'!$A:$A))</definedName>
    <definedName name="branch_ranking_Attainment_Rate">'Raw_Branches'!$F$2:INDEX('Raw_Branches'!$F:$F,COUNTA('Raw_Branches'!$A:$A))</definedName>
    <definedName name="branch_ranking_Branch">'Raw_Branches'!$B$2:INDEX('Raw_Branches'!$B:$B,COUNTA('Raw_Branches'!$A:$A))</definedName>
    <definedName name="branch_ranking_Branch_ID">'Raw_Branches'!$A$2:INDEX('Raw_Branches'!$A:$A,COUNTA('Raw_Branches'!$A:$A))</definedName>
    <definedName name="branch_ranking_Credit_Volume_PLN">'Raw_Branches'!$E$2:INDEX('Raw_Branches'!$E:$E,COUNTA('Raw_Branches'!$A:$A))</definedName>
    <definedName name="branch_ranking_Productization_Rate">'Raw_Branches'!$H$2:INDEX('Raw_Branches'!$H:$H,COUNTA('Raw_Branches'!$A:$A))</definedName>
    <definedName name="branch_ranking_Rank">'Raw_Branches'!$D$2:INDEX('Raw_Branches'!$D:$D,COUNTA('Raw_Branches'!$A:$A))</definedName>
    <definedName name="branch_ranking_Region">'Raw_Branches'!$C$2:INDEX('Raw_Branches'!$C:$C,COUNTA('Raw_Branches'!$A:$A))</definedName>
    <definedName name="branch_ranking_ROR_per_Advisor">'Raw_Branches'!$G$2:INDEX('Raw_Branches'!$G:$G,COUNTA('Raw_Branches'!$A:$A))</definedName>
    <definedName name="cross_sell_Branch">'Raw_CrossSell'!$B$2:INDEX('Raw_CrossSell'!$B:$B,COUNTA('Raw_CrossSell'!$A:$A))</definedName>
    <definedName name="cross_sell_Branch_ID">'Raw_CrossSell'!$A$2:INDEX('Raw_CrossSell'!$A:$A,COUNTA('Raw_CrossSell'!$A:$A))</definedName>
    <definedName name="cross_sell_Card_Rate">'Raw_CrossSell'!$G$2:INDEX('Raw_CrossSell'!$G:$G,COUNTA('Raw_CrossSell'!$A:$A))</definedName>
    <definedName name="cross_sell_Customers">'Raw_CrossSell'!$C$2:INDEX('Raw_CrossSell'!$C:$C,COUNTA('Raw_CrossSell'!$A:$A))</definedName>
    <definedName name="cross_sell_Insurance_Rate">'Raw_CrossSell'!$H$2:INDEX('Raw_CrossSell'!$H:$H,COUNTA('Raw_CrossSell'!$A:$A))</definedName>
    <definedName name="cross_sell_MultiProduct_Customers">'Raw_CrossSell'!$D$2:INDEX('Raw_CrossSell'!$D:$D,COUNTA('Raw_CrossSell'!$A:$A))</definedName>
    <definedName name="cross_sell_Productization_Rate">'Raw_CrossSell'!$E$2:INDEX('Raw_CrossSell'!$E:$E,COUNTA('Raw_CrossSell'!$A:$A))</definedName>
    <definedName name="cross_sell_Products_per_Customer">'Raw_CrossSell'!$F$2:INDEX('Raw_CrossSell'!$F:$F,COUNTA('Raw_CrossSell'!$A:$A))</definedName>
    <definedName name="product_mix_Cash_Loan">'Raw_Product_Mix'!$C$2:INDEX('Raw_Product_Mix'!$C:$C,COUNTA('Raw_Product_Mix'!$A:$A))</definedName>
    <definedName name="product_mix_Credit_Card">'Raw_Product_Mix'!$E$2:INDEX('Raw_Product_Mix'!$E:$E,COUNTA('Raw_Product_Mix'!$A:$A))</definedName>
    <definedName name="product_mix_Insurance">'Raw_Product_Mix'!$F$2:INDEX('Raw_Product_Mix'!$F:$F,COUNTA('Raw_Product_Mix'!$A:$A))</definedName>
    <definedName name="product_mix_Month">'Raw_Product_Mix'!$A$2:INDEX('Raw_Product_Mix'!$A:$A,COUNTA('Raw_Product_Mix'!$A:$A))</definedName>
    <definedName name="product_mix_Mortgage">'Raw_Product_Mix'!$D$2:INDEX('Raw_Product_Mix'!$D:$D,COUNTA('Raw_Product_Mix'!$A:$A))</definedName>
    <definedName name="product_mix_ROR">'Raw_Product_Mix'!$B$2:INDEX('Raw_Product_Mix'!$B:$B,COUNTA('Raw_Product_Mix'!$A:$A))</definedName>
    <definedName name="product_mix_SME_Loan">'Raw_Product_Mix'!$G$2:INDEX('Raw_Product_Mix'!$G:$G,COUNTA('Raw_Product_Mix'!$A:$A))</definedName>
  </definedNames>
  <calcPr calcId="124519" fullCalcOnLoad="1"/>
</workbook>
</file>

<file path=xl/sharedStrings.xml><?xml version="1.0" encoding="utf-8"?>
<sst xmlns="http://schemas.openxmlformats.org/spreadsheetml/2006/main" count="309" uniqueCount="115">
  <si>
    <t>BRANCH &amp; PRODUCTIZATION DASHBOARD</t>
  </si>
  <si>
    <t>Branch ranking • advisor productivity • product mix • multi-product customers | synthetic 2025 model</t>
  </si>
  <si>
    <t>Refresh contract: replace only Raw_* tabs with %EXPORT(update=true); formulas and charts stay in the presentation layer.</t>
  </si>
  <si>
    <t>Branch_ID</t>
  </si>
  <si>
    <t>Branch</t>
  </si>
  <si>
    <t>Region</t>
  </si>
  <si>
    <t>Rank</t>
  </si>
  <si>
    <t>Credit_Volume_PLN</t>
  </si>
  <si>
    <t>Attainment_Rate</t>
  </si>
  <si>
    <t>ROR_per_Advisor</t>
  </si>
  <si>
    <t>Productization_Rate</t>
  </si>
  <si>
    <t>B001</t>
  </si>
  <si>
    <t>Warsaw Central</t>
  </si>
  <si>
    <t>Central</t>
  </si>
  <si>
    <t>B002</t>
  </si>
  <si>
    <t>Warsaw Mokotow</t>
  </si>
  <si>
    <t>B003</t>
  </si>
  <si>
    <t>Krakow Main</t>
  </si>
  <si>
    <t>South</t>
  </si>
  <si>
    <t>B006</t>
  </si>
  <si>
    <t>Gdansk Old Town</t>
  </si>
  <si>
    <t>North</t>
  </si>
  <si>
    <t>B004</t>
  </si>
  <si>
    <t>Wroclaw Market</t>
  </si>
  <si>
    <t>West</t>
  </si>
  <si>
    <t>B005</t>
  </si>
  <si>
    <t>Poznan Center</t>
  </si>
  <si>
    <t>B008</t>
  </si>
  <si>
    <t>Katowice Silesia</t>
  </si>
  <si>
    <t>B007</t>
  </si>
  <si>
    <t>Lodz Piotrkowska</t>
  </si>
  <si>
    <t>Advisor_ID</t>
  </si>
  <si>
    <t>Advisor</t>
  </si>
  <si>
    <t>ROR_Sales</t>
  </si>
  <si>
    <t>Credit_Sales</t>
  </si>
  <si>
    <t>A-014</t>
  </si>
  <si>
    <t>Anna Kowalska</t>
  </si>
  <si>
    <t>A-031</t>
  </si>
  <si>
    <t>Piotr Nowak</t>
  </si>
  <si>
    <t>A-022</t>
  </si>
  <si>
    <t>Marta Wisniewska</t>
  </si>
  <si>
    <t>A-048</t>
  </si>
  <si>
    <t>Tomasz Zielinski</t>
  </si>
  <si>
    <t>A-017</t>
  </si>
  <si>
    <t>Katarzyna Wojcik</t>
  </si>
  <si>
    <t>A-039</t>
  </si>
  <si>
    <t>Jakub Kaminski</t>
  </si>
  <si>
    <t>A-027</t>
  </si>
  <si>
    <t>Natalia Lewandowska</t>
  </si>
  <si>
    <t>A-054</t>
  </si>
  <si>
    <t>Michal Dabrowski</t>
  </si>
  <si>
    <t>Month</t>
  </si>
  <si>
    <t>ROR</t>
  </si>
  <si>
    <t>Cash_Loan</t>
  </si>
  <si>
    <t>Mortgage</t>
  </si>
  <si>
    <t>Credit_Card</t>
  </si>
  <si>
    <t>Insurance</t>
  </si>
  <si>
    <t>SME_Loan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</si>
  <si>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</si>
  <si>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</si>
  <si>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</si>
  <si>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</si>
  <si>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</si>
  <si>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</si>
  <si>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</si>
  <si>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</si>
  <si>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</si>
  <si>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</si>
  <si>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</si>
  <si>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</si>
  <si>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Customers</t>
  </si>
  <si>
    <t>MultiProduct_Customers</t>
  </si>
  <si>
    <t>Products_per_Customer</t>
  </si>
  <si>
    <t>Card_Rate</t>
  </si>
  <si>
    <t>Insurance_Rate</t>
  </si>
  <si>
    <t>Avg productization</t>
  </si>
  <si>
    <t>Source: Raw_CrossSell</t>
  </si>
  <si>
    <t>Avg products / customer</t>
  </si>
  <si>
    <t>Top branch</t>
  </si>
  <si>
    <t>Source: Raw_Branches</t>
  </si>
  <si>
    <t>Top advisor</t>
  </si>
  <si>
    <t>Source: Raw_Advisors</t>
  </si>
  <si>
    <t>BRANCH RANKING</t>
  </si>
  <si>
    <t>ID</t>
  </si>
  <si>
    <t>Credit volume</t>
  </si>
  <si>
    <t>Attainment</t>
  </si>
  <si>
    <t>ADVISOR RANKING</t>
  </si>
  <si>
    <t>ROR sales</t>
  </si>
  <si>
    <t>PRODUCT MIX BY MONTH</t>
  </si>
  <si>
    <t>CROSS-SELL BY BRANCH</t>
  </si>
  <si>
    <t>Multi-product</t>
  </si>
  <si>
    <t>Productization</t>
  </si>
  <si>
    <t>Products/customer</t>
  </si>
  <si>
    <t>BRANCH RANKING | MODEL GUIDE</t>
  </si>
  <si>
    <t>Purpose</t>
  </si>
  <si>
    <t>A documentation fixture for refreshable reporting with @justybase/spreadsheet-tasks.</t>
  </si>
  <si>
    <t>Raw tab</t>
  </si>
  <si>
    <t>Table</t>
  </si>
  <si>
    <t>Replacement contract</t>
  </si>
  <si>
    <t>Raw_Branches</t>
  </si>
  <si>
    <t>tblBranchRanking</t>
  </si>
  <si>
    <t>Branch_ID, Branch, Region, Rank, Credit_Volume_PLN, Attainment_Rate, ROR_per_Advisor, Productization_Rate</t>
  </si>
  <si>
    <t>Raw_Advisors</t>
  </si>
  <si>
    <t>tblAdvisorRanking</t>
  </si>
  <si>
    <t>Advisor_ID, Advisor, Branch_ID, Region, ROR_Sales, Credit_Sales, Credit_Volume_PLN, Attainment_Rate</t>
  </si>
  <si>
    <t>Raw_Product_Mix</t>
  </si>
  <si>
    <t>tblProductMix</t>
  </si>
  <si>
    <t>Month, ROR, Cash_Loan, Mortgage, Credit_Card, Insurance, SME_Loan</t>
  </si>
  <si>
    <t>Raw_CrossSell</t>
  </si>
  <si>
    <t>tblCrossSell</t>
  </si>
  <si>
    <t>Branch_ID, Branch, Customers, MultiProduct_Customers, Productization_Rate, Products_per_Customer, Card_Rate, Insurance_Rate</t>
  </si>
  <si>
    <t>Update example</t>
  </si>
  <si>
    <t>%EXPORT(format='xlsx', file='/reports/branch-product-ranking.xlsx', sheet='Raw_Monthly', query=(SELECT ...), update=true);</t>
  </si>
  <si>
    <t>Design notes</t>
  </si>
  <si>
    <t>Dashboard formulas use Excel table references and charts use dynamic workbook names. The updater replaces a raw sheet, updates its table range, and preserves the other sheets and dashboard drawing. Open in desktop Excel to recalculate formulas and refresh any external PivotTable caches.</t>
  </si>
</sst>
</file>

<file path=xl/styles.xml><?xml version="1.0" encoding="utf-8"?>
<styleSheet xmlns="http://schemas.openxmlformats.org/spreadsheetml/2006/main">
  <numFmts count="4">
    <numFmt numFmtId="164" formatCode="0.0%"/>
    <numFmt numFmtId="165" formatCode="0.00x"/>
    <numFmt numFmtId="166" formatCode="#,##0"/>
    <numFmt numFmtId="167" formatCode="#,##0 &quot;PLN&quot;"/>
  </numFmts>
  <fonts count="10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0"/>
      <color rgb="FFFFFFFF"/>
      <name val="Calibri"/>
      <family val="2"/>
      <scheme val="minor"/>
    </font>
    <font>
      <sz val="9"/>
      <color rgb="FF60758A"/>
      <name val="Calibri"/>
      <family val="2"/>
      <scheme val="minor"/>
    </font>
    <font>
      <b/>
      <sz val="9"/>
      <color rgb="FF60758A"/>
      <name val="Calibri"/>
      <family val="2"/>
      <scheme val="minor"/>
    </font>
    <font>
      <b/>
      <sz val="17"/>
      <color rgb="FF1F7A54"/>
      <name val="Calibri"/>
      <family val="2"/>
      <scheme val="minor"/>
    </font>
    <font>
      <b/>
      <sz val="17"/>
      <color rgb="FF163B6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F2937"/>
      <name val="Calibri"/>
      <family val="2"/>
      <scheme val="minor"/>
    </font>
    <font>
      <sz val="11"/>
      <color rgb="FF163B65"/>
      <name val="Consolas"/>
      <family val="2"/>
    </font>
  </fonts>
  <fills count="7">
    <fill>
      <patternFill patternType="none"/>
    </fill>
    <fill>
      <patternFill patternType="gray125"/>
    </fill>
    <fill>
      <patternFill patternType="solid">
        <fgColor rgb="FF163B65"/>
        <bgColor indexed="64"/>
      </patternFill>
    </fill>
    <fill>
      <patternFill patternType="solid">
        <fgColor rgb="FFF5F8FB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47D92"/>
        <bgColor indexed="64"/>
      </patternFill>
    </fill>
  </fills>
  <borders count="2">
    <border>
      <left/>
      <right/>
      <top/>
      <bottom/>
      <diagonal/>
    </border>
    <border>
      <left style="thin">
        <color rgb="FFD6E0EB"/>
      </left>
      <right style="thin">
        <color rgb="FFD6E0EB"/>
      </right>
      <top style="thin">
        <color rgb="FFD6E0EB"/>
      </top>
      <bottom style="thin">
        <color rgb="FFD6E0E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5" borderId="0" xfId="0" applyFont="1" applyFill="1"/>
    <xf numFmtId="166" fontId="8" fillId="5" borderId="0" xfId="0" applyNumberFormat="1" applyFont="1" applyFill="1"/>
    <xf numFmtId="167" fontId="8" fillId="5" borderId="0" xfId="0" applyNumberFormat="1" applyFont="1" applyFill="1"/>
    <xf numFmtId="164" fontId="8" fillId="5" borderId="0" xfId="0" applyNumberFormat="1" applyFont="1" applyFill="1"/>
    <xf numFmtId="165" fontId="8" fillId="5" borderId="0" xfId="0" applyNumberFormat="1" applyFont="1" applyFill="1"/>
    <xf numFmtId="0" fontId="8" fillId="0" borderId="0" xfId="0" applyFont="1"/>
    <xf numFmtId="167" fontId="8" fillId="0" borderId="0" xfId="0" applyNumberFormat="1" applyFont="1"/>
    <xf numFmtId="164" fontId="8" fillId="0" borderId="0" xfId="0" applyNumberFormat="1" applyFont="1"/>
    <xf numFmtId="166" fontId="8" fillId="0" borderId="0" xfId="0" applyNumberFormat="1" applyFont="1"/>
    <xf numFmtId="0" fontId="7" fillId="2" borderId="0" xfId="0" applyFont="1" applyFill="1"/>
    <xf numFmtId="0" fontId="8" fillId="0" borderId="0" xfId="0" applyFont="1" applyAlignment="1">
      <alignment vertical="top" wrapText="1"/>
    </xf>
    <xf numFmtId="0" fontId="9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="1" baseline="0">
                <a:solidFill>
                  <a:srgbClr val="163B65"/>
                </a:solidFill>
              </a:defRPr>
            </a:pPr>
            <a:r>
              <a:rPr lang="en-US" sz="1200" b="1" baseline="0">
                <a:solidFill>
                  <a:srgbClr val="163B65"/>
                </a:solidFill>
              </a:rPr>
              <a:t>Credit volume by branch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Credit volume</c:v>
          </c:tx>
          <c:spPr>
            <a:solidFill>
              <a:srgbClr val="2F75B5"/>
            </a:solidFill>
            <a:ln>
              <a:noFill/>
            </a:ln>
          </c:spPr>
          <c:dLbls>
            <c:numFmt formatCode="#,##0,,&quot;m&quot;" sourceLinked="0"/>
            <c:showVal val="1"/>
          </c:dLbls>
          <c:cat>
            <c:strRef>
              <c:f>branch_ranking_Branch</c:f>
              <c:strCache>
                <c:ptCount val="8"/>
                <c:pt idx="0">
                  <c:v>Warsaw Central</c:v>
                </c:pt>
                <c:pt idx="1">
                  <c:v>Warsaw Mokotow</c:v>
                </c:pt>
                <c:pt idx="2">
                  <c:v>Krakow Main</c:v>
                </c:pt>
                <c:pt idx="3">
                  <c:v>Gdansk Old Town</c:v>
                </c:pt>
                <c:pt idx="4">
                  <c:v>Wroclaw Market</c:v>
                </c:pt>
                <c:pt idx="5">
                  <c:v>Poznan Center</c:v>
                </c:pt>
                <c:pt idx="6">
                  <c:v>Katowice Silesia</c:v>
                </c:pt>
                <c:pt idx="7">
                  <c:v>Lodz Piotrkowska</c:v>
                </c:pt>
              </c:strCache>
            </c:strRef>
          </c:cat>
          <c:val>
            <c:numRef>
              <c:f>branch_ranking_Credit_Volume_PLN</c:f>
              <c:numCache>
                <c:formatCode>General</c:formatCode>
                <c:ptCount val="8"/>
                <c:pt idx="0">
                  <c:v>4860000</c:v>
                </c:pt>
                <c:pt idx="1">
                  <c:v>4520000</c:v>
                </c:pt>
                <c:pt idx="2">
                  <c:v>4190000</c:v>
                </c:pt>
                <c:pt idx="3">
                  <c:v>3610000</c:v>
                </c:pt>
                <c:pt idx="4">
                  <c:v>3980000</c:v>
                </c:pt>
                <c:pt idx="5">
                  <c:v>3740000</c:v>
                </c:pt>
                <c:pt idx="6">
                  <c:v>3190000</c:v>
                </c:pt>
                <c:pt idx="7">
                  <c:v>3320000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numFmt formatCode="#,##0,,&quot;m PLN&quot;" sourceLinked="0"/>
        <c:tickLblPos val="nextTo"/>
        <c:crossAx val="50010001"/>
        <c:crosses val="autoZero"/>
        <c:crossBetween val="between"/>
      </c:valAx>
      <c:spPr>
        <a:solidFill>
          <a:srgbClr val="FFFFFF"/>
        </a:solidFill>
        <a:ln>
          <a:solidFill>
            <a:srgbClr val="D6E0EB"/>
          </a:solidFill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="1" baseline="0">
                <a:solidFill>
                  <a:srgbClr val="163B65"/>
                </a:solidFill>
              </a:defRPr>
            </a:pPr>
            <a:r>
              <a:rPr lang="en-US" sz="1200" b="1" baseline="0">
                <a:solidFill>
                  <a:srgbClr val="163B65"/>
                </a:solidFill>
              </a:rPr>
              <a:t>Product mix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ROR</c:v>
          </c:tx>
          <c:spPr>
            <a:ln w="25400">
              <a:solidFill>
                <a:srgbClr val="1F7A54"/>
              </a:solidFill>
            </a:ln>
          </c:spPr>
          <c:marker>
            <c:symbol val="none"/>
          </c:marker>
          <c:cat>
            <c:strRef>
              <c:f>product_mix_Month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product_mix_ROR</c:f>
              <c:numCache>
                <c:formatCode>General</c:formatCode>
                <c:ptCount val="12"/>
                <c:pt idx="0">
                  <c:v>420</c:v>
                </c:pt>
                <c:pt idx="1">
                  <c:v>438</c:v>
                </c:pt>
                <c:pt idx="2">
                  <c:v>470</c:v>
                </c:pt>
                <c:pt idx="3">
                  <c:v>455</c:v>
                </c:pt>
                <c:pt idx="4">
                  <c:v>486</c:v>
                </c:pt>
                <c:pt idx="5">
                  <c:v>512</c:v>
                </c:pt>
                <c:pt idx="6">
                  <c:v>505</c:v>
                </c:pt>
                <c:pt idx="7">
                  <c:v>528</c:v>
                </c:pt>
                <c:pt idx="8">
                  <c:v>541</c:v>
                </c:pt>
                <c:pt idx="9">
                  <c:v>563</c:v>
                </c:pt>
                <c:pt idx="10">
                  <c:v>589</c:v>
                </c:pt>
                <c:pt idx="11">
                  <c:v>624</c:v>
                </c:pt>
              </c:numCache>
            </c:numRef>
          </c:val>
        </c:ser>
        <c:ser>
          <c:idx val="1"/>
          <c:order val="1"/>
          <c:tx>
            <c:v>Cash_Loan</c:v>
          </c:tx>
          <c:spPr>
            <a:ln w="25400">
              <a:solidFill>
                <a:srgbClr val="E8892F"/>
              </a:solidFill>
            </a:ln>
          </c:spPr>
          <c:marker>
            <c:symbol val="none"/>
          </c:marker>
          <c:cat>
            <c:strRef>
              <c:f>product_mix_Month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product_mix_Cash_Loan</c:f>
              <c:numCache>
                <c:formatCode>General</c:formatCode>
                <c:ptCount val="12"/>
                <c:pt idx="0">
                  <c:v>142</c:v>
                </c:pt>
                <c:pt idx="1">
                  <c:v>151</c:v>
                </c:pt>
                <c:pt idx="2">
                  <c:v>168</c:v>
                </c:pt>
                <c:pt idx="3">
                  <c:v>159</c:v>
                </c:pt>
                <c:pt idx="4">
                  <c:v>177</c:v>
                </c:pt>
                <c:pt idx="5">
                  <c:v>192</c:v>
                </c:pt>
                <c:pt idx="6">
                  <c:v>185</c:v>
                </c:pt>
                <c:pt idx="7">
                  <c:v>201</c:v>
                </c:pt>
                <c:pt idx="8">
                  <c:v>214</c:v>
                </c:pt>
                <c:pt idx="9">
                  <c:v>226</c:v>
                </c:pt>
                <c:pt idx="10">
                  <c:v>241</c:v>
                </c:pt>
                <c:pt idx="11">
                  <c:v>268</c:v>
                </c:pt>
              </c:numCache>
            </c:numRef>
          </c:val>
        </c:ser>
        <c:ser>
          <c:idx val="2"/>
          <c:order val="2"/>
          <c:tx>
            <c:v>Credit_Card</c:v>
          </c:tx>
          <c:spPr>
            <a:ln w="25400">
              <a:solidFill>
                <a:srgbClr val="2F75B5"/>
              </a:solidFill>
            </a:ln>
          </c:spPr>
          <c:marker>
            <c:symbol val="none"/>
          </c:marker>
          <c:cat>
            <c:strRef>
              <c:f>product_mix_Month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product_mix_Credit_Card</c:f>
              <c:numCache>
                <c:formatCode>General</c:formatCode>
                <c:ptCount val="12"/>
                <c:pt idx="0">
                  <c:v>67</c:v>
                </c:pt>
                <c:pt idx="1">
                  <c:v>71</c:v>
                </c:pt>
                <c:pt idx="2">
                  <c:v>76</c:v>
                </c:pt>
                <c:pt idx="3">
                  <c:v>74</c:v>
                </c:pt>
                <c:pt idx="4">
                  <c:v>80</c:v>
                </c:pt>
                <c:pt idx="5">
                  <c:v>84</c:v>
                </c:pt>
                <c:pt idx="6">
                  <c:v>82</c:v>
                </c:pt>
                <c:pt idx="7">
                  <c:v>88</c:v>
                </c:pt>
                <c:pt idx="8">
                  <c:v>92</c:v>
                </c:pt>
                <c:pt idx="9">
                  <c:v>96</c:v>
                </c:pt>
                <c:pt idx="10">
                  <c:v>101</c:v>
                </c:pt>
                <c:pt idx="11">
                  <c:v>109</c:v>
                </c:pt>
              </c:numCache>
            </c:numRef>
          </c:val>
        </c:ser>
        <c:ser>
          <c:idx val="3"/>
          <c:order val="3"/>
          <c:tx>
            <c:v>Mortgage</c:v>
          </c:tx>
          <c:spPr>
            <a:ln w="25400">
              <a:solidFill>
                <a:srgbClr val="147D92"/>
              </a:solidFill>
            </a:ln>
          </c:spPr>
          <c:marker>
            <c:symbol val="none"/>
          </c:marker>
          <c:cat>
            <c:strRef>
              <c:f>product_mix_Month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product_mix_Mortgage</c:f>
              <c:numCache>
                <c:formatCode>General</c:formatCode>
                <c:ptCount val="12"/>
                <c:pt idx="0">
                  <c:v>34</c:v>
                </c:pt>
                <c:pt idx="1">
                  <c:v>36</c:v>
                </c:pt>
                <c:pt idx="2">
                  <c:v>41</c:v>
                </c:pt>
                <c:pt idx="3">
                  <c:v>39</c:v>
                </c:pt>
                <c:pt idx="4">
                  <c:v>43</c:v>
                </c:pt>
                <c:pt idx="5">
                  <c:v>47</c:v>
                </c:pt>
                <c:pt idx="6">
                  <c:v>46</c:v>
                </c:pt>
                <c:pt idx="7">
                  <c:v>50</c:v>
                </c:pt>
                <c:pt idx="8">
                  <c:v>53</c:v>
                </c:pt>
                <c:pt idx="9">
                  <c:v>56</c:v>
                </c:pt>
                <c:pt idx="10">
                  <c:v>61</c:v>
                </c:pt>
                <c:pt idx="11">
                  <c:v>68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numFmt formatCode="#,##0" sourceLinked="0"/>
        <c:tickLblPos val="nextTo"/>
        <c:crossAx val="50020001"/>
        <c:crosses val="autoZero"/>
        <c:crossBetween val="between"/>
      </c:valAx>
      <c:spPr>
        <a:solidFill>
          <a:srgbClr val="FFFFFF"/>
        </a:solidFill>
        <a:ln>
          <a:solidFill>
            <a:srgbClr val="D6E0EB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="1" baseline="0">
                <a:solidFill>
                  <a:srgbClr val="163B65"/>
                </a:solidFill>
              </a:defRPr>
            </a:pPr>
            <a:r>
              <a:rPr lang="en-US" sz="1200" b="1" baseline="0">
                <a:solidFill>
                  <a:srgbClr val="163B65"/>
                </a:solidFill>
              </a:rPr>
              <a:t>Productization by branch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Productization rate</c:v>
          </c:tx>
          <c:spPr>
            <a:solidFill>
              <a:srgbClr val="1F7A54"/>
            </a:solidFill>
            <a:ln>
              <a:noFill/>
            </a:ln>
          </c:spPr>
          <c:dLbls>
            <c:numFmt formatCode="0%" sourceLinked="0"/>
            <c:showVal val="1"/>
          </c:dLbls>
          <c:cat>
            <c:strRef>
              <c:f>cross_sell_Branch</c:f>
              <c:strCache>
                <c:ptCount val="8"/>
                <c:pt idx="0">
                  <c:v>Warsaw Central</c:v>
                </c:pt>
                <c:pt idx="1">
                  <c:v>Warsaw Mokotow</c:v>
                </c:pt>
                <c:pt idx="2">
                  <c:v>Krakow Main</c:v>
                </c:pt>
                <c:pt idx="3">
                  <c:v>Wroclaw Market</c:v>
                </c:pt>
                <c:pt idx="4">
                  <c:v>Poznan Center</c:v>
                </c:pt>
                <c:pt idx="5">
                  <c:v>Gdansk Old Town</c:v>
                </c:pt>
                <c:pt idx="6">
                  <c:v>Lodz Piotrkowska</c:v>
                </c:pt>
                <c:pt idx="7">
                  <c:v>Katowice Silesia</c:v>
                </c:pt>
              </c:strCache>
            </c:strRef>
          </c:cat>
          <c:val>
            <c:numRef>
              <c:f>cross_sell_Productization_Rate</c:f>
              <c:numCache>
                <c:formatCode>General</c:formatCode>
                <c:ptCount val="8"/>
                <c:pt idx="0">
                  <c:v>0.61</c:v>
                </c:pt>
                <c:pt idx="1">
                  <c:v>0.559</c:v>
                </c:pt>
                <c:pt idx="2">
                  <c:v>0.544</c:v>
                </c:pt>
                <c:pt idx="3">
                  <c:v>0.525</c:v>
                </c:pt>
                <c:pt idx="4">
                  <c:v>0.513</c:v>
                </c:pt>
                <c:pt idx="5">
                  <c:v>0.553</c:v>
                </c:pt>
                <c:pt idx="6">
                  <c:v>0.488</c:v>
                </c:pt>
                <c:pt idx="7">
                  <c:v>0.486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numFmt formatCode="0%" sourceLinked="0"/>
        <c:tickLblPos val="nextTo"/>
        <c:crossAx val="50030001"/>
        <c:crosses val="autoZero"/>
        <c:crossBetween val="between"/>
      </c:valAx>
      <c:spPr>
        <a:solidFill>
          <a:srgbClr val="FFFFFF"/>
        </a:solidFill>
        <a:ln>
          <a:solidFill>
            <a:srgbClr val="D6E0EB"/>
          </a:solidFill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34</xdr:row>
      <xdr:rowOff>0</xdr:rowOff>
    </xdr:from>
    <xdr:to>
      <xdr:col>10</xdr:col>
      <xdr:colOff>257175</xdr:colOff>
      <xdr:row>47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49</xdr:row>
      <xdr:rowOff>0</xdr:rowOff>
    </xdr:from>
    <xdr:to>
      <xdr:col>10</xdr:col>
      <xdr:colOff>257175</xdr:colOff>
      <xdr:row>62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64</xdr:row>
      <xdr:rowOff>0</xdr:rowOff>
    </xdr:from>
    <xdr:to>
      <xdr:col>10</xdr:col>
      <xdr:colOff>257175</xdr:colOff>
      <xdr:row>77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BranchView" displayName="tblBranchView" ref="A10:F18" totalsRowShown="0">
  <autoFilter ref="A10:F18"/>
  <tableColumns count="6">
    <tableColumn id="1" name="ID"/>
    <tableColumn id="2" name="Branch"/>
    <tableColumn id="3" name="Region"/>
    <tableColumn id="4" name="Rank"/>
    <tableColumn id="5" name="Credit volume"/>
    <tableColumn id="6" name="Attainment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blAdvisorView" displayName="tblAdvisorView" ref="H10:M18" totalsRowShown="0">
  <autoFilter ref="H10:M18"/>
  <tableColumns count="6">
    <tableColumn id="1" name="ID"/>
    <tableColumn id="2" name="Advisor"/>
    <tableColumn id="3" name="Branch"/>
    <tableColumn id="4" name="ROR sales"/>
    <tableColumn id="5" name="Credit volume"/>
    <tableColumn id="6" name="Attainment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blProductMixView" displayName="tblProductMixView" ref="A22:G34" totalsRowShown="0">
  <autoFilter ref="A22:G34"/>
  <tableColumns count="7">
    <tableColumn id="1" name="Month"/>
    <tableColumn id="2" name="ROR"/>
    <tableColumn id="3" name="Cash_Loan"/>
    <tableColumn id="4" name="Mortgage"/>
    <tableColumn id="5" name="Credit_Card"/>
    <tableColumn id="6" name="Insurance"/>
    <tableColumn id="7" name="SME_Loa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blCrossSellView" displayName="tblCrossSellView" ref="I22:N30" totalsRowShown="0">
  <autoFilter ref="I22:N30"/>
  <tableColumns count="6">
    <tableColumn id="1" name="ID"/>
    <tableColumn id="2" name="Branch"/>
    <tableColumn id="3" name="Customers"/>
    <tableColumn id="4" name="Multi-product"/>
    <tableColumn id="5" name="Productization"/>
    <tableColumn id="6" name="Products/custome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blBranchRanking" displayName="tblBranchRanking" ref="A1:H9" totalsRowShown="0">
  <autoFilter ref="A1:H9"/>
  <tableColumns count="8">
    <tableColumn id="1" name="Branch_ID"/>
    <tableColumn id="2" name="Branch"/>
    <tableColumn id="3" name="Region"/>
    <tableColumn id="4" name="Rank"/>
    <tableColumn id="5" name="Credit_Volume_PLN"/>
    <tableColumn id="6" name="Attainment_Rate"/>
    <tableColumn id="7" name="ROR_per_Advisor"/>
    <tableColumn id="8" name="Productization_R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AdvisorRanking" displayName="tblAdvisorRanking" ref="A1:H9" totalsRowShown="0">
  <autoFilter ref="A1:H9"/>
  <tableColumns count="8">
    <tableColumn id="1" name="Advisor_ID"/>
    <tableColumn id="2" name="Advisor"/>
    <tableColumn id="3" name="Branch_ID"/>
    <tableColumn id="4" name="Region"/>
    <tableColumn id="5" name="ROR_Sales"/>
    <tableColumn id="6" name="Credit_Sales"/>
    <tableColumn id="7" name="Credit_Volume_PLN"/>
    <tableColumn id="8" name="Attainment_R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ProductMix" displayName="tblProductMix" ref="A1:G13" totalsRowShown="0">
  <autoFilter ref="A1:G13"/>
  <tableColumns count="7">
    <tableColumn id="1" name="Month"/>
    <tableColumn id="2" name="ROR"/>
    <tableColumn id="3" name="Cash_Loan"/>
    <tableColumn id="4" name="Mortgage"/>
    <tableColumn id="5" name="Credit_Card"/>
    <tableColumn id="6" name="Insurance"/>
    <tableColumn id="7" name="SME_Loa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CrossSell" displayName="tblCrossSell" ref="A1:H9" totalsRowShown="0">
  <autoFilter ref="A1:H9"/>
  <tableColumns count="8">
    <tableColumn id="1" name="Branch_ID"/>
    <tableColumn id="2" name="Branch"/>
    <tableColumn id="3" name="Customers"/>
    <tableColumn id="4" name="MultiProduct_Customers"/>
    <tableColumn id="5" name="Productization_Rate"/>
    <tableColumn id="6" name="Products_per_Customer"/>
    <tableColumn id="7" name="Card_Rate"/>
    <tableColumn id="8" name="Insurance_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63B65"/>
    <pageSetUpPr fitToPage="1"/>
  </sheetPr>
  <dimension ref="A1:N34"/>
  <sheetViews>
    <sheetView showGridLines="0" tabSelected="1" workbookViewId="0"/>
  </sheetViews>
  <sheetFormatPr defaultRowHeight="15"/>
  <cols>
    <col min="1" max="1" width="23.7109375" customWidth="1"/>
    <col min="2" max="4" width="17.7109375" customWidth="1"/>
    <col min="5" max="5" width="3.7109375" customWidth="1"/>
    <col min="6" max="6" width="18.7109375" customWidth="1"/>
    <col min="7" max="14" width="14.7109375" customWidth="1"/>
  </cols>
  <sheetData>
    <row r="1" spans="1:14" ht="3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1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8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4" t="s">
        <v>75</v>
      </c>
      <c r="B4" s="4"/>
      <c r="C4" s="4"/>
      <c r="D4" s="4" t="s">
        <v>77</v>
      </c>
      <c r="E4" s="4"/>
      <c r="F4" s="4"/>
      <c r="G4" s="4" t="s">
        <v>78</v>
      </c>
      <c r="H4" s="4"/>
      <c r="I4" s="4"/>
      <c r="K4" s="4" t="s">
        <v>80</v>
      </c>
      <c r="L4" s="4"/>
      <c r="M4" s="4"/>
    </row>
    <row r="5" spans="1:14">
      <c r="A5" s="5">
        <f>AVERAGE(tblCrossSell[Productization_Rate])</f>
        <v>0.5347500000000001</v>
      </c>
      <c r="B5" s="6"/>
      <c r="C5" s="6"/>
      <c r="D5" s="7">
        <f>AVERAGE(tblCrossSell[Products_per_Customer])</f>
        <v>1.39875</v>
      </c>
      <c r="E5" s="6"/>
      <c r="F5" s="6"/>
      <c r="G5" s="6" t="str">
        <f>INDEX(tblBranchRanking[Branch],1)</f>
        <v>Warsaw Central</v>
      </c>
      <c r="H5" s="6"/>
      <c r="I5" s="6"/>
      <c r="K5" s="6" t="str">
        <f>INDEX(tblAdvisorRanking[Advisor],1)</f>
        <v>Anna Kowalska</v>
      </c>
      <c r="L5" s="6"/>
      <c r="M5" s="6"/>
    </row>
    <row r="6" spans="1:14">
      <c r="A6" s="6"/>
      <c r="B6" s="6"/>
      <c r="C6" s="6"/>
      <c r="D6" s="6"/>
      <c r="E6" s="6"/>
      <c r="F6" s="6"/>
      <c r="G6" s="6"/>
      <c r="H6" s="6"/>
      <c r="I6" s="6"/>
      <c r="K6" s="6"/>
      <c r="L6" s="6"/>
      <c r="M6" s="6"/>
    </row>
    <row r="7" spans="1:14">
      <c r="A7" s="3" t="s">
        <v>76</v>
      </c>
      <c r="B7" s="3"/>
      <c r="C7" s="3"/>
      <c r="D7" s="3" t="s">
        <v>76</v>
      </c>
      <c r="E7" s="3"/>
      <c r="F7" s="3"/>
      <c r="G7" s="3" t="s">
        <v>79</v>
      </c>
      <c r="H7" s="3"/>
      <c r="I7" s="3"/>
      <c r="K7" s="3" t="s">
        <v>81</v>
      </c>
      <c r="L7" s="3"/>
      <c r="M7" s="3"/>
    </row>
    <row r="9" spans="1:14">
      <c r="A9" s="8" t="s">
        <v>82</v>
      </c>
      <c r="B9" s="8"/>
      <c r="C9" s="8"/>
      <c r="D9" s="8"/>
      <c r="E9" s="8"/>
      <c r="F9" s="8"/>
      <c r="H9" s="8" t="s">
        <v>86</v>
      </c>
      <c r="I9" s="8"/>
      <c r="J9" s="8"/>
      <c r="K9" s="8"/>
      <c r="L9" s="8"/>
      <c r="M9" s="8"/>
    </row>
    <row r="10" spans="1:14">
      <c r="A10" t="s">
        <v>83</v>
      </c>
      <c r="B10" t="s">
        <v>4</v>
      </c>
      <c r="C10" t="s">
        <v>5</v>
      </c>
      <c r="D10" t="s">
        <v>6</v>
      </c>
      <c r="E10" t="s">
        <v>84</v>
      </c>
      <c r="F10" t="s">
        <v>85</v>
      </c>
      <c r="H10" t="s">
        <v>83</v>
      </c>
      <c r="I10" t="s">
        <v>32</v>
      </c>
      <c r="J10" t="s">
        <v>4</v>
      </c>
      <c r="K10" t="s">
        <v>87</v>
      </c>
      <c r="L10" t="s">
        <v>84</v>
      </c>
      <c r="M10" t="s">
        <v>85</v>
      </c>
    </row>
    <row r="11" spans="1:14">
      <c r="A11" s="9" t="s">
        <v>11</v>
      </c>
      <c r="B11" s="9" t="s">
        <v>12</v>
      </c>
      <c r="C11" s="9" t="s">
        <v>13</v>
      </c>
      <c r="D11" s="10">
        <v>1</v>
      </c>
      <c r="E11" s="11">
        <v>4860000</v>
      </c>
      <c r="F11" s="12">
        <v>1.08</v>
      </c>
      <c r="H11" s="9" t="s">
        <v>35</v>
      </c>
      <c r="I11" s="9" t="s">
        <v>36</v>
      </c>
      <c r="J11" s="9" t="s">
        <v>11</v>
      </c>
      <c r="K11" s="10">
        <v>92</v>
      </c>
      <c r="L11" s="11">
        <v>1280000</v>
      </c>
      <c r="M11" s="12">
        <v>1.21</v>
      </c>
    </row>
    <row r="12" spans="1:14">
      <c r="A12" s="9" t="s">
        <v>14</v>
      </c>
      <c r="B12" s="9" t="s">
        <v>15</v>
      </c>
      <c r="C12" s="9" t="s">
        <v>13</v>
      </c>
      <c r="D12" s="10">
        <v>2</v>
      </c>
      <c r="E12" s="11">
        <v>4520000</v>
      </c>
      <c r="F12" s="12">
        <v>1.076</v>
      </c>
      <c r="H12" s="9" t="s">
        <v>37</v>
      </c>
      <c r="I12" s="9" t="s">
        <v>38</v>
      </c>
      <c r="J12" s="9" t="s">
        <v>14</v>
      </c>
      <c r="K12" s="10">
        <v>86</v>
      </c>
      <c r="L12" s="11">
        <v>1190000</v>
      </c>
      <c r="M12" s="12">
        <v>1.18</v>
      </c>
    </row>
    <row r="13" spans="1:14">
      <c r="A13" s="9" t="s">
        <v>16</v>
      </c>
      <c r="B13" s="9" t="s">
        <v>17</v>
      </c>
      <c r="C13" s="9" t="s">
        <v>18</v>
      </c>
      <c r="D13" s="10">
        <v>3</v>
      </c>
      <c r="E13" s="11">
        <v>4190000</v>
      </c>
      <c r="F13" s="12">
        <v>1.048</v>
      </c>
      <c r="H13" s="9" t="s">
        <v>39</v>
      </c>
      <c r="I13" s="9" t="s">
        <v>40</v>
      </c>
      <c r="J13" s="9" t="s">
        <v>16</v>
      </c>
      <c r="K13" s="10">
        <v>79</v>
      </c>
      <c r="L13" s="11">
        <v>1110000</v>
      </c>
      <c r="M13" s="12">
        <v>1.16</v>
      </c>
    </row>
    <row r="14" spans="1:14">
      <c r="A14" s="9" t="s">
        <v>19</v>
      </c>
      <c r="B14" s="9" t="s">
        <v>20</v>
      </c>
      <c r="C14" s="9" t="s">
        <v>21</v>
      </c>
      <c r="D14" s="10">
        <v>4</v>
      </c>
      <c r="E14" s="11">
        <v>3610000</v>
      </c>
      <c r="F14" s="12">
        <v>1.031</v>
      </c>
      <c r="H14" s="9" t="s">
        <v>41</v>
      </c>
      <c r="I14" s="9" t="s">
        <v>42</v>
      </c>
      <c r="J14" s="9" t="s">
        <v>19</v>
      </c>
      <c r="K14" s="10">
        <v>74</v>
      </c>
      <c r="L14" s="11">
        <v>1040000</v>
      </c>
      <c r="M14" s="12">
        <v>1.13</v>
      </c>
    </row>
    <row r="15" spans="1:14">
      <c r="A15" s="9" t="s">
        <v>22</v>
      </c>
      <c r="B15" s="9" t="s">
        <v>23</v>
      </c>
      <c r="C15" s="9" t="s">
        <v>24</v>
      </c>
      <c r="D15" s="10">
        <v>5</v>
      </c>
      <c r="E15" s="11">
        <v>3980000</v>
      </c>
      <c r="F15" s="12">
        <v>0.971</v>
      </c>
      <c r="H15" s="9" t="s">
        <v>43</v>
      </c>
      <c r="I15" s="9" t="s">
        <v>44</v>
      </c>
      <c r="J15" s="9" t="s">
        <v>22</v>
      </c>
      <c r="K15" s="10">
        <v>71</v>
      </c>
      <c r="L15" s="11">
        <v>990000</v>
      </c>
      <c r="M15" s="12">
        <v>1.1</v>
      </c>
    </row>
    <row r="16" spans="1:14">
      <c r="A16" s="9" t="s">
        <v>25</v>
      </c>
      <c r="B16" s="9" t="s">
        <v>26</v>
      </c>
      <c r="C16" s="9" t="s">
        <v>24</v>
      </c>
      <c r="D16" s="10">
        <v>6</v>
      </c>
      <c r="E16" s="11">
        <v>3740000</v>
      </c>
      <c r="F16" s="12">
        <v>0.959</v>
      </c>
      <c r="H16" s="9" t="s">
        <v>45</v>
      </c>
      <c r="I16" s="9" t="s">
        <v>46</v>
      </c>
      <c r="J16" s="9" t="s">
        <v>25</v>
      </c>
      <c r="K16" s="10">
        <v>68</v>
      </c>
      <c r="L16" s="11">
        <v>947000</v>
      </c>
      <c r="M16" s="12">
        <v>1.08</v>
      </c>
    </row>
    <row r="17" spans="1:14">
      <c r="A17" s="9" t="s">
        <v>27</v>
      </c>
      <c r="B17" s="9" t="s">
        <v>28</v>
      </c>
      <c r="C17" s="9" t="s">
        <v>18</v>
      </c>
      <c r="D17" s="10">
        <v>7</v>
      </c>
      <c r="E17" s="11">
        <v>3190000</v>
      </c>
      <c r="F17" s="12">
        <v>0.9379999999999999</v>
      </c>
      <c r="H17" s="9" t="s">
        <v>47</v>
      </c>
      <c r="I17" s="9" t="s">
        <v>48</v>
      </c>
      <c r="J17" s="9" t="s">
        <v>27</v>
      </c>
      <c r="K17" s="10">
        <v>65</v>
      </c>
      <c r="L17" s="11">
        <v>884000</v>
      </c>
      <c r="M17" s="12">
        <v>1.04</v>
      </c>
    </row>
    <row r="18" spans="1:14">
      <c r="A18" s="9" t="s">
        <v>29</v>
      </c>
      <c r="B18" s="9" t="s">
        <v>30</v>
      </c>
      <c r="C18" s="9" t="s">
        <v>13</v>
      </c>
      <c r="D18" s="10">
        <v>8</v>
      </c>
      <c r="E18" s="11">
        <v>3320000</v>
      </c>
      <c r="F18" s="12">
        <v>0.922</v>
      </c>
      <c r="H18" s="9" t="s">
        <v>49</v>
      </c>
      <c r="I18" s="9" t="s">
        <v>50</v>
      </c>
      <c r="J18" s="9" t="s">
        <v>29</v>
      </c>
      <c r="K18" s="10">
        <v>61</v>
      </c>
      <c r="L18" s="11">
        <v>842000</v>
      </c>
      <c r="M18" s="12">
        <v>1.01</v>
      </c>
    </row>
    <row r="21" spans="1:14">
      <c r="A21" s="8" t="s">
        <v>88</v>
      </c>
      <c r="B21" s="8"/>
      <c r="C21" s="8"/>
      <c r="D21" s="8"/>
      <c r="E21" s="8"/>
      <c r="F21" s="8"/>
      <c r="G21" s="8"/>
      <c r="I21" s="8" t="s">
        <v>89</v>
      </c>
      <c r="J21" s="8"/>
      <c r="K21" s="8"/>
      <c r="L21" s="8"/>
      <c r="M21" s="8"/>
      <c r="N21" s="8"/>
    </row>
    <row r="22" spans="1:14">
      <c r="A22" t="s">
        <v>51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 t="s">
        <v>57</v>
      </c>
      <c r="I22" t="s">
        <v>83</v>
      </c>
      <c r="J22" t="s">
        <v>4</v>
      </c>
      <c r="K22" t="s">
        <v>70</v>
      </c>
      <c r="L22" t="s">
        <v>90</v>
      </c>
      <c r="M22" t="s">
        <v>91</v>
      </c>
      <c r="N22" t="s">
        <v>92</v>
      </c>
    </row>
    <row r="23" spans="1:14">
      <c r="A23" s="9" t="s">
        <v>58</v>
      </c>
      <c r="B23" s="10">
        <v>420</v>
      </c>
      <c r="C23" s="10">
        <v>142</v>
      </c>
      <c r="D23" s="10">
        <v>34</v>
      </c>
      <c r="E23" s="10">
        <v>67</v>
      </c>
      <c r="F23" s="10">
        <v>28</v>
      </c>
      <c r="G23" s="10">
        <v>18</v>
      </c>
      <c r="I23" s="9" t="s">
        <v>11</v>
      </c>
      <c r="J23" s="9" t="s">
        <v>12</v>
      </c>
      <c r="K23" s="10">
        <v>4820</v>
      </c>
      <c r="L23" s="10">
        <v>2940</v>
      </c>
      <c r="M23" s="12">
        <v>0.61</v>
      </c>
      <c r="N23" s="13">
        <v>1.62</v>
      </c>
    </row>
    <row r="24" spans="1:14">
      <c r="A24" s="9" t="s">
        <v>59</v>
      </c>
      <c r="B24" s="10">
        <v>438</v>
      </c>
      <c r="C24" s="10">
        <v>151</v>
      </c>
      <c r="D24" s="10">
        <v>36</v>
      </c>
      <c r="E24" s="10">
        <v>71</v>
      </c>
      <c r="F24" s="10">
        <v>30</v>
      </c>
      <c r="G24" s="10">
        <v>19</v>
      </c>
      <c r="I24" s="9" t="s">
        <v>14</v>
      </c>
      <c r="J24" s="9" t="s">
        <v>15</v>
      </c>
      <c r="K24" s="10">
        <v>4380</v>
      </c>
      <c r="L24" s="10">
        <v>2450</v>
      </c>
      <c r="M24" s="12">
        <v>0.5590000000000001</v>
      </c>
      <c r="N24" s="13">
        <v>1.55</v>
      </c>
    </row>
    <row r="25" spans="1:14">
      <c r="A25" s="9" t="s">
        <v>60</v>
      </c>
      <c r="B25" s="10">
        <v>470</v>
      </c>
      <c r="C25" s="10">
        <v>168</v>
      </c>
      <c r="D25" s="10">
        <v>41</v>
      </c>
      <c r="E25" s="10">
        <v>76</v>
      </c>
      <c r="F25" s="10">
        <v>32</v>
      </c>
      <c r="G25" s="10">
        <v>21</v>
      </c>
      <c r="I25" s="9" t="s">
        <v>16</v>
      </c>
      <c r="J25" s="9" t="s">
        <v>17</v>
      </c>
      <c r="K25" s="10">
        <v>4120</v>
      </c>
      <c r="L25" s="10">
        <v>2240</v>
      </c>
      <c r="M25" s="12">
        <v>0.544</v>
      </c>
      <c r="N25" s="13">
        <v>1.48</v>
      </c>
    </row>
    <row r="26" spans="1:14">
      <c r="A26" s="9" t="s">
        <v>61</v>
      </c>
      <c r="B26" s="10">
        <v>455</v>
      </c>
      <c r="C26" s="10">
        <v>159</v>
      </c>
      <c r="D26" s="10">
        <v>39</v>
      </c>
      <c r="E26" s="10">
        <v>74</v>
      </c>
      <c r="F26" s="10">
        <v>31</v>
      </c>
      <c r="G26" s="10">
        <v>20</v>
      </c>
      <c r="I26" s="9" t="s">
        <v>22</v>
      </c>
      <c r="J26" s="9" t="s">
        <v>23</v>
      </c>
      <c r="K26" s="10">
        <v>3980</v>
      </c>
      <c r="L26" s="10">
        <v>2090</v>
      </c>
      <c r="M26" s="12">
        <v>0.525</v>
      </c>
      <c r="N26" s="13">
        <v>1.36</v>
      </c>
    </row>
    <row r="27" spans="1:14">
      <c r="A27" s="9" t="s">
        <v>62</v>
      </c>
      <c r="B27" s="10">
        <v>486</v>
      </c>
      <c r="C27" s="10">
        <v>177</v>
      </c>
      <c r="D27" s="10">
        <v>43</v>
      </c>
      <c r="E27" s="10">
        <v>80</v>
      </c>
      <c r="F27" s="10">
        <v>35</v>
      </c>
      <c r="G27" s="10">
        <v>22</v>
      </c>
      <c r="I27" s="9" t="s">
        <v>25</v>
      </c>
      <c r="J27" s="9" t="s">
        <v>26</v>
      </c>
      <c r="K27" s="10">
        <v>3760</v>
      </c>
      <c r="L27" s="10">
        <v>1930</v>
      </c>
      <c r="M27" s="12">
        <v>0.513</v>
      </c>
      <c r="N27" s="13">
        <v>1.31</v>
      </c>
    </row>
    <row r="28" spans="1:14">
      <c r="A28" s="9" t="s">
        <v>63</v>
      </c>
      <c r="B28" s="10">
        <v>512</v>
      </c>
      <c r="C28" s="10">
        <v>192</v>
      </c>
      <c r="D28" s="10">
        <v>47</v>
      </c>
      <c r="E28" s="10">
        <v>84</v>
      </c>
      <c r="F28" s="10">
        <v>37</v>
      </c>
      <c r="G28" s="10">
        <v>24</v>
      </c>
      <c r="I28" s="9" t="s">
        <v>19</v>
      </c>
      <c r="J28" s="9" t="s">
        <v>20</v>
      </c>
      <c r="K28" s="10">
        <v>3420</v>
      </c>
      <c r="L28" s="10">
        <v>1890</v>
      </c>
      <c r="M28" s="12">
        <v>0.553</v>
      </c>
      <c r="N28" s="13">
        <v>1.42</v>
      </c>
    </row>
    <row r="29" spans="1:14">
      <c r="A29" s="9" t="s">
        <v>64</v>
      </c>
      <c r="B29" s="10">
        <v>505</v>
      </c>
      <c r="C29" s="10">
        <v>185</v>
      </c>
      <c r="D29" s="10">
        <v>46</v>
      </c>
      <c r="E29" s="10">
        <v>82</v>
      </c>
      <c r="F29" s="10">
        <v>36</v>
      </c>
      <c r="G29" s="10">
        <v>23</v>
      </c>
      <c r="I29" s="9" t="s">
        <v>29</v>
      </c>
      <c r="J29" s="9" t="s">
        <v>30</v>
      </c>
      <c r="K29" s="10">
        <v>3610</v>
      </c>
      <c r="L29" s="10">
        <v>1760</v>
      </c>
      <c r="M29" s="12">
        <v>0.488</v>
      </c>
      <c r="N29" s="13">
        <v>1.19</v>
      </c>
    </row>
    <row r="30" spans="1:14">
      <c r="A30" s="9" t="s">
        <v>65</v>
      </c>
      <c r="B30" s="10">
        <v>528</v>
      </c>
      <c r="C30" s="10">
        <v>201</v>
      </c>
      <c r="D30" s="10">
        <v>50</v>
      </c>
      <c r="E30" s="10">
        <v>88</v>
      </c>
      <c r="F30" s="10">
        <v>39</v>
      </c>
      <c r="G30" s="10">
        <v>25</v>
      </c>
      <c r="I30" s="9" t="s">
        <v>27</v>
      </c>
      <c r="J30" s="9" t="s">
        <v>28</v>
      </c>
      <c r="K30" s="10">
        <v>3480</v>
      </c>
      <c r="L30" s="10">
        <v>1690</v>
      </c>
      <c r="M30" s="12">
        <v>0.486</v>
      </c>
      <c r="N30" s="13">
        <v>1.26</v>
      </c>
    </row>
    <row r="31" spans="1:14">
      <c r="A31" s="9" t="s">
        <v>66</v>
      </c>
      <c r="B31" s="10">
        <v>541</v>
      </c>
      <c r="C31" s="10">
        <v>214</v>
      </c>
      <c r="D31" s="10">
        <v>53</v>
      </c>
      <c r="E31" s="10">
        <v>92</v>
      </c>
      <c r="F31" s="10">
        <v>41</v>
      </c>
      <c r="G31" s="10">
        <v>27</v>
      </c>
    </row>
    <row r="32" spans="1:14">
      <c r="A32" s="9" t="s">
        <v>67</v>
      </c>
      <c r="B32" s="10">
        <v>563</v>
      </c>
      <c r="C32" s="10">
        <v>226</v>
      </c>
      <c r="D32" s="10">
        <v>56</v>
      </c>
      <c r="E32" s="10">
        <v>96</v>
      </c>
      <c r="F32" s="10">
        <v>44</v>
      </c>
      <c r="G32" s="10">
        <v>29</v>
      </c>
    </row>
    <row r="33" spans="1:7">
      <c r="A33" s="9" t="s">
        <v>68</v>
      </c>
      <c r="B33" s="10">
        <v>589</v>
      </c>
      <c r="C33" s="10">
        <v>241</v>
      </c>
      <c r="D33" s="10">
        <v>61</v>
      </c>
      <c r="E33" s="10">
        <v>101</v>
      </c>
      <c r="F33" s="10">
        <v>47</v>
      </c>
      <c r="G33" s="10">
        <v>31</v>
      </c>
    </row>
    <row r="34" spans="1:7">
      <c r="A34" s="9" t="s">
        <v>69</v>
      </c>
      <c r="B34" s="10">
        <v>624</v>
      </c>
      <c r="C34" s="10">
        <v>268</v>
      </c>
      <c r="D34" s="10">
        <v>68</v>
      </c>
      <c r="E34" s="10">
        <v>109</v>
      </c>
      <c r="F34" s="10">
        <v>52</v>
      </c>
      <c r="G34" s="10">
        <v>35</v>
      </c>
    </row>
  </sheetData>
  <mergeCells count="19">
    <mergeCell ref="A1:N1"/>
    <mergeCell ref="A2:N2"/>
    <mergeCell ref="A3:N3"/>
    <mergeCell ref="A4:C4"/>
    <mergeCell ref="A5:C6"/>
    <mergeCell ref="A7:C7"/>
    <mergeCell ref="D4:F4"/>
    <mergeCell ref="D5:F6"/>
    <mergeCell ref="D7:F7"/>
    <mergeCell ref="G4:I4"/>
    <mergeCell ref="G5:I6"/>
    <mergeCell ref="G7:I7"/>
    <mergeCell ref="K4:M4"/>
    <mergeCell ref="K5:M6"/>
    <mergeCell ref="K7:M7"/>
    <mergeCell ref="A9:F9"/>
    <mergeCell ref="H9:M9"/>
    <mergeCell ref="A21:G21"/>
    <mergeCell ref="I21:N21"/>
  </mergeCells>
  <conditionalFormatting sqref="F11:F18">
    <cfRule type="dataBar" priority="1">
      <dataBar>
        <cfvo type="min" val="0"/>
        <cfvo type="max" val="0"/>
        <color rgb="FF2F75B5"/>
      </dataBar>
    </cfRule>
  </conditionalFormatting>
  <pageMargins left="0.25" right="0.25" top="0.35" bottom="0.35" header="0.3" footer="0.3"/>
  <pageSetup orientation="landscape"/>
  <headerFooter>
    <oddHeader>&amp;LJustyBase banking reporting fixture&amp;R&amp;"Calibri,Bold"Dashboard</oddHeader>
    <oddFooter>&amp;LGenerated synthetic example&amp;RPage &amp;P of &amp;N</oddFooter>
  </headerFooter>
  <drawing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F75B5"/>
    <pageSetUpPr fitToPage="1"/>
  </sheetPr>
  <dimension ref="A1:H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4" width="12.7109375" customWidth="1"/>
    <col min="5" max="5" width="19.7109375" customWidth="1"/>
    <col min="6" max="7" width="17.7109375" customWidth="1"/>
    <col min="8" max="8" width="21.7109375" customWidth="1"/>
  </cols>
  <sheetData>
    <row r="1" spans="1:8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 s="14" t="s">
        <v>11</v>
      </c>
      <c r="B2" s="14" t="s">
        <v>12</v>
      </c>
      <c r="C2" s="14" t="s">
        <v>13</v>
      </c>
      <c r="D2" s="14">
        <v>1</v>
      </c>
      <c r="E2" s="15">
        <v>4860000</v>
      </c>
      <c r="F2" s="16">
        <v>1.08</v>
      </c>
      <c r="G2" s="14">
        <v>28.4</v>
      </c>
      <c r="H2" s="16">
        <v>1.62</v>
      </c>
    </row>
    <row r="3" spans="1:8">
      <c r="A3" s="14" t="s">
        <v>14</v>
      </c>
      <c r="B3" s="14" t="s">
        <v>15</v>
      </c>
      <c r="C3" s="14" t="s">
        <v>13</v>
      </c>
      <c r="D3" s="14">
        <v>2</v>
      </c>
      <c r="E3" s="15">
        <v>4520000</v>
      </c>
      <c r="F3" s="16">
        <v>1.076</v>
      </c>
      <c r="G3" s="14">
        <v>26.8</v>
      </c>
      <c r="H3" s="16">
        <v>1.55</v>
      </c>
    </row>
    <row r="4" spans="1:8">
      <c r="A4" s="14" t="s">
        <v>16</v>
      </c>
      <c r="B4" s="14" t="s">
        <v>17</v>
      </c>
      <c r="C4" s="14" t="s">
        <v>18</v>
      </c>
      <c r="D4" s="14">
        <v>3</v>
      </c>
      <c r="E4" s="15">
        <v>4190000</v>
      </c>
      <c r="F4" s="16">
        <v>1.048</v>
      </c>
      <c r="G4" s="14">
        <v>25.9</v>
      </c>
      <c r="H4" s="16">
        <v>1.48</v>
      </c>
    </row>
    <row r="5" spans="1:8">
      <c r="A5" s="14" t="s">
        <v>19</v>
      </c>
      <c r="B5" s="14" t="s">
        <v>20</v>
      </c>
      <c r="C5" s="14" t="s">
        <v>21</v>
      </c>
      <c r="D5" s="14">
        <v>4</v>
      </c>
      <c r="E5" s="15">
        <v>3610000</v>
      </c>
      <c r="F5" s="16">
        <v>1.031</v>
      </c>
      <c r="G5" s="14">
        <v>24.7</v>
      </c>
      <c r="H5" s="16">
        <v>1.42</v>
      </c>
    </row>
    <row r="6" spans="1:8">
      <c r="A6" s="14" t="s">
        <v>22</v>
      </c>
      <c r="B6" s="14" t="s">
        <v>23</v>
      </c>
      <c r="C6" s="14" t="s">
        <v>24</v>
      </c>
      <c r="D6" s="14">
        <v>5</v>
      </c>
      <c r="E6" s="15">
        <v>3980000</v>
      </c>
      <c r="F6" s="16">
        <v>0.971</v>
      </c>
      <c r="G6" s="14">
        <v>23.8</v>
      </c>
      <c r="H6" s="16">
        <v>1.36</v>
      </c>
    </row>
    <row r="7" spans="1:8">
      <c r="A7" s="14" t="s">
        <v>25</v>
      </c>
      <c r="B7" s="14" t="s">
        <v>26</v>
      </c>
      <c r="C7" s="14" t="s">
        <v>24</v>
      </c>
      <c r="D7" s="14">
        <v>6</v>
      </c>
      <c r="E7" s="15">
        <v>3740000</v>
      </c>
      <c r="F7" s="16">
        <v>0.959</v>
      </c>
      <c r="G7" s="14">
        <v>22.9</v>
      </c>
      <c r="H7" s="16">
        <v>1.31</v>
      </c>
    </row>
    <row r="8" spans="1:8">
      <c r="A8" s="14" t="s">
        <v>27</v>
      </c>
      <c r="B8" s="14" t="s">
        <v>28</v>
      </c>
      <c r="C8" s="14" t="s">
        <v>18</v>
      </c>
      <c r="D8" s="14">
        <v>7</v>
      </c>
      <c r="E8" s="15">
        <v>3190000</v>
      </c>
      <c r="F8" s="16">
        <v>0.9379999999999999</v>
      </c>
      <c r="G8" s="14">
        <v>21.8</v>
      </c>
      <c r="H8" s="16">
        <v>1.26</v>
      </c>
    </row>
    <row r="9" spans="1:8">
      <c r="A9" s="14" t="s">
        <v>29</v>
      </c>
      <c r="B9" s="14" t="s">
        <v>30</v>
      </c>
      <c r="C9" s="14" t="s">
        <v>13</v>
      </c>
      <c r="D9" s="14">
        <v>8</v>
      </c>
      <c r="E9" s="15">
        <v>3320000</v>
      </c>
      <c r="F9" s="16">
        <v>0.922</v>
      </c>
      <c r="G9" s="14">
        <v>20.7</v>
      </c>
      <c r="H9" s="16">
        <v>1.19</v>
      </c>
    </row>
  </sheetData>
  <conditionalFormatting sqref="E2:E9">
    <cfRule type="colorScale" priority="1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conditionalFormatting sqref="F2:F9">
    <cfRule type="colorScale" priority="2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conditionalFormatting sqref="H2:H9">
    <cfRule type="colorScale" priority="3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pageMargins left="0.7" right="0.7" top="0.75" bottom="0.75" header="0.3" footer="0.3"/>
  <pageSetup fitToHeight="0" orientation="landscape"/>
  <headerFooter>
    <oddHeader>&amp;L&amp;"Calibri,Bold"Raw data: Raw_Branches&amp;RPage &amp;P of &amp;N</oddHeader>
    <oddFooter>&amp;LJustyBase dashboard fixture&amp;RConfidential synthetic data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47D92"/>
    <pageSetUpPr fitToPage="1"/>
  </sheetPr>
  <dimension ref="A1:H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1.7109375" customWidth="1"/>
    <col min="3" max="5" width="12.7109375" customWidth="1"/>
    <col min="6" max="6" width="14.7109375" customWidth="1"/>
    <col min="7" max="7" width="19.7109375" customWidth="1"/>
    <col min="8" max="8" width="17.7109375" customWidth="1"/>
  </cols>
  <sheetData>
    <row r="1" spans="1:8">
      <c r="A1" t="s">
        <v>31</v>
      </c>
      <c r="B1" t="s">
        <v>32</v>
      </c>
      <c r="C1" t="s">
        <v>3</v>
      </c>
      <c r="D1" t="s">
        <v>5</v>
      </c>
      <c r="E1" t="s">
        <v>33</v>
      </c>
      <c r="F1" t="s">
        <v>34</v>
      </c>
      <c r="G1" t="s">
        <v>7</v>
      </c>
      <c r="H1" t="s">
        <v>8</v>
      </c>
    </row>
    <row r="2" spans="1:8">
      <c r="A2" s="14" t="s">
        <v>35</v>
      </c>
      <c r="B2" s="14" t="s">
        <v>36</v>
      </c>
      <c r="C2" s="14" t="s">
        <v>11</v>
      </c>
      <c r="D2" s="14" t="s">
        <v>13</v>
      </c>
      <c r="E2" s="17">
        <v>92</v>
      </c>
      <c r="F2" s="17">
        <v>38</v>
      </c>
      <c r="G2" s="15">
        <v>1280000</v>
      </c>
      <c r="H2" s="16">
        <v>1.21</v>
      </c>
    </row>
    <row r="3" spans="1:8">
      <c r="A3" s="14" t="s">
        <v>37</v>
      </c>
      <c r="B3" s="14" t="s">
        <v>38</v>
      </c>
      <c r="C3" s="14" t="s">
        <v>14</v>
      </c>
      <c r="D3" s="14" t="s">
        <v>13</v>
      </c>
      <c r="E3" s="17">
        <v>86</v>
      </c>
      <c r="F3" s="17">
        <v>41</v>
      </c>
      <c r="G3" s="15">
        <v>1190000</v>
      </c>
      <c r="H3" s="16">
        <v>1.18</v>
      </c>
    </row>
    <row r="4" spans="1:8">
      <c r="A4" s="14" t="s">
        <v>39</v>
      </c>
      <c r="B4" s="14" t="s">
        <v>40</v>
      </c>
      <c r="C4" s="14" t="s">
        <v>16</v>
      </c>
      <c r="D4" s="14" t="s">
        <v>18</v>
      </c>
      <c r="E4" s="17">
        <v>79</v>
      </c>
      <c r="F4" s="17">
        <v>36</v>
      </c>
      <c r="G4" s="15">
        <v>1110000</v>
      </c>
      <c r="H4" s="16">
        <v>1.16</v>
      </c>
    </row>
    <row r="5" spans="1:8">
      <c r="A5" s="14" t="s">
        <v>41</v>
      </c>
      <c r="B5" s="14" t="s">
        <v>42</v>
      </c>
      <c r="C5" s="14" t="s">
        <v>19</v>
      </c>
      <c r="D5" s="14" t="s">
        <v>21</v>
      </c>
      <c r="E5" s="17">
        <v>74</v>
      </c>
      <c r="F5" s="17">
        <v>34</v>
      </c>
      <c r="G5" s="15">
        <v>1040000</v>
      </c>
      <c r="H5" s="16">
        <v>1.13</v>
      </c>
    </row>
    <row r="6" spans="1:8">
      <c r="A6" s="14" t="s">
        <v>43</v>
      </c>
      <c r="B6" s="14" t="s">
        <v>44</v>
      </c>
      <c r="C6" s="14" t="s">
        <v>22</v>
      </c>
      <c r="D6" s="14" t="s">
        <v>24</v>
      </c>
      <c r="E6" s="17">
        <v>71</v>
      </c>
      <c r="F6" s="17">
        <v>32</v>
      </c>
      <c r="G6" s="15">
        <v>990000</v>
      </c>
      <c r="H6" s="16">
        <v>1.1</v>
      </c>
    </row>
    <row r="7" spans="1:8">
      <c r="A7" s="14" t="s">
        <v>45</v>
      </c>
      <c r="B7" s="14" t="s">
        <v>46</v>
      </c>
      <c r="C7" s="14" t="s">
        <v>25</v>
      </c>
      <c r="D7" s="14" t="s">
        <v>24</v>
      </c>
      <c r="E7" s="17">
        <v>68</v>
      </c>
      <c r="F7" s="17">
        <v>31</v>
      </c>
      <c r="G7" s="15">
        <v>947000</v>
      </c>
      <c r="H7" s="16">
        <v>1.08</v>
      </c>
    </row>
    <row r="8" spans="1:8">
      <c r="A8" s="14" t="s">
        <v>47</v>
      </c>
      <c r="B8" s="14" t="s">
        <v>48</v>
      </c>
      <c r="C8" s="14" t="s">
        <v>27</v>
      </c>
      <c r="D8" s="14" t="s">
        <v>18</v>
      </c>
      <c r="E8" s="17">
        <v>65</v>
      </c>
      <c r="F8" s="17">
        <v>28</v>
      </c>
      <c r="G8" s="15">
        <v>884000</v>
      </c>
      <c r="H8" s="16">
        <v>1.04</v>
      </c>
    </row>
    <row r="9" spans="1:8">
      <c r="A9" s="14" t="s">
        <v>49</v>
      </c>
      <c r="B9" s="14" t="s">
        <v>50</v>
      </c>
      <c r="C9" s="14" t="s">
        <v>29</v>
      </c>
      <c r="D9" s="14" t="s">
        <v>13</v>
      </c>
      <c r="E9" s="17">
        <v>61</v>
      </c>
      <c r="F9" s="17">
        <v>27</v>
      </c>
      <c r="G9" s="15">
        <v>842000</v>
      </c>
      <c r="H9" s="16">
        <v>1.01</v>
      </c>
    </row>
  </sheetData>
  <conditionalFormatting sqref="E2:E9">
    <cfRule type="colorScale" priority="1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conditionalFormatting sqref="F2:F9">
    <cfRule type="colorScale" priority="2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conditionalFormatting sqref="G2:G9">
    <cfRule type="colorScale" priority="3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conditionalFormatting sqref="H2:H9">
    <cfRule type="colorScale" priority="4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pageMargins left="0.7" right="0.7" top="0.75" bottom="0.75" header="0.3" footer="0.3"/>
  <pageSetup fitToHeight="0" orientation="landscape"/>
  <headerFooter>
    <oddHeader>&amp;L&amp;"Calibri,Bold"Raw data: Raw_Advisors&amp;RPage &amp;P of &amp;N</oddHeader>
    <oddFooter>&amp;LJustyBase dashboard fixture&amp;RConfidential synthetic data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E8892F"/>
    <pageSetUpPr fitToPage="1"/>
  </sheetPr>
  <dimension ref="A1:G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  <col min="5" max="5" width="13.7109375" customWidth="1"/>
    <col min="6" max="7" width="12.7109375" customWidth="1"/>
  </cols>
  <sheetData>
    <row r="1" spans="1:7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</row>
    <row r="2" spans="1:7">
      <c r="A2" s="14" t="s">
        <v>58</v>
      </c>
      <c r="B2" s="14">
        <v>420</v>
      </c>
      <c r="C2" s="14">
        <v>142</v>
      </c>
      <c r="D2" s="14">
        <v>34</v>
      </c>
      <c r="E2" s="14">
        <v>67</v>
      </c>
      <c r="F2" s="14">
        <v>28</v>
      </c>
      <c r="G2" s="14">
        <v>18</v>
      </c>
    </row>
    <row r="3" spans="1:7">
      <c r="A3" s="14" t="s">
        <v>59</v>
      </c>
      <c r="B3" s="14">
        <v>438</v>
      </c>
      <c r="C3" s="14">
        <v>151</v>
      </c>
      <c r="D3" s="14">
        <v>36</v>
      </c>
      <c r="E3" s="14">
        <v>71</v>
      </c>
      <c r="F3" s="14">
        <v>30</v>
      </c>
      <c r="G3" s="14">
        <v>19</v>
      </c>
    </row>
    <row r="4" spans="1:7">
      <c r="A4" s="14" t="s">
        <v>60</v>
      </c>
      <c r="B4" s="14">
        <v>470</v>
      </c>
      <c r="C4" s="14">
        <v>168</v>
      </c>
      <c r="D4" s="14">
        <v>41</v>
      </c>
      <c r="E4" s="14">
        <v>76</v>
      </c>
      <c r="F4" s="14">
        <v>32</v>
      </c>
      <c r="G4" s="14">
        <v>21</v>
      </c>
    </row>
    <row r="5" spans="1:7">
      <c r="A5" s="14" t="s">
        <v>61</v>
      </c>
      <c r="B5" s="14">
        <v>455</v>
      </c>
      <c r="C5" s="14">
        <v>159</v>
      </c>
      <c r="D5" s="14">
        <v>39</v>
      </c>
      <c r="E5" s="14">
        <v>74</v>
      </c>
      <c r="F5" s="14">
        <v>31</v>
      </c>
      <c r="G5" s="14">
        <v>20</v>
      </c>
    </row>
    <row r="6" spans="1:7">
      <c r="A6" s="14" t="s">
        <v>62</v>
      </c>
      <c r="B6" s="14">
        <v>486</v>
      </c>
      <c r="C6" s="14">
        <v>177</v>
      </c>
      <c r="D6" s="14">
        <v>43</v>
      </c>
      <c r="E6" s="14">
        <v>80</v>
      </c>
      <c r="F6" s="14">
        <v>35</v>
      </c>
      <c r="G6" s="14">
        <v>22</v>
      </c>
    </row>
    <row r="7" spans="1:7">
      <c r="A7" s="14" t="s">
        <v>63</v>
      </c>
      <c r="B7" s="14">
        <v>512</v>
      </c>
      <c r="C7" s="14">
        <v>192</v>
      </c>
      <c r="D7" s="14">
        <v>47</v>
      </c>
      <c r="E7" s="14">
        <v>84</v>
      </c>
      <c r="F7" s="14">
        <v>37</v>
      </c>
      <c r="G7" s="14">
        <v>24</v>
      </c>
    </row>
    <row r="8" spans="1:7">
      <c r="A8" s="14" t="s">
        <v>64</v>
      </c>
      <c r="B8" s="14">
        <v>505</v>
      </c>
      <c r="C8" s="14">
        <v>185</v>
      </c>
      <c r="D8" s="14">
        <v>46</v>
      </c>
      <c r="E8" s="14">
        <v>82</v>
      </c>
      <c r="F8" s="14">
        <v>36</v>
      </c>
      <c r="G8" s="14">
        <v>23</v>
      </c>
    </row>
    <row r="9" spans="1:7">
      <c r="A9" s="14" t="s">
        <v>65</v>
      </c>
      <c r="B9" s="14">
        <v>528</v>
      </c>
      <c r="C9" s="14">
        <v>201</v>
      </c>
      <c r="D9" s="14">
        <v>50</v>
      </c>
      <c r="E9" s="14">
        <v>88</v>
      </c>
      <c r="F9" s="14">
        <v>39</v>
      </c>
      <c r="G9" s="14">
        <v>25</v>
      </c>
    </row>
    <row r="10" spans="1:7">
      <c r="A10" s="14" t="s">
        <v>66</v>
      </c>
      <c r="B10" s="14">
        <v>541</v>
      </c>
      <c r="C10" s="14">
        <v>214</v>
      </c>
      <c r="D10" s="14">
        <v>53</v>
      </c>
      <c r="E10" s="14">
        <v>92</v>
      </c>
      <c r="F10" s="14">
        <v>41</v>
      </c>
      <c r="G10" s="14">
        <v>27</v>
      </c>
    </row>
    <row r="11" spans="1:7">
      <c r="A11" s="14" t="s">
        <v>67</v>
      </c>
      <c r="B11" s="14">
        <v>563</v>
      </c>
      <c r="C11" s="14">
        <v>226</v>
      </c>
      <c r="D11" s="14">
        <v>56</v>
      </c>
      <c r="E11" s="14">
        <v>96</v>
      </c>
      <c r="F11" s="14">
        <v>44</v>
      </c>
      <c r="G11" s="14">
        <v>29</v>
      </c>
    </row>
    <row r="12" spans="1:7">
      <c r="A12" s="14" t="s">
        <v>68</v>
      </c>
      <c r="B12" s="14">
        <v>589</v>
      </c>
      <c r="C12" s="14">
        <v>241</v>
      </c>
      <c r="D12" s="14">
        <v>61</v>
      </c>
      <c r="E12" s="14">
        <v>101</v>
      </c>
      <c r="F12" s="14">
        <v>47</v>
      </c>
      <c r="G12" s="14">
        <v>31</v>
      </c>
    </row>
    <row r="13" spans="1:7">
      <c r="A13" s="14" t="s">
        <v>69</v>
      </c>
      <c r="B13" s="14">
        <v>624</v>
      </c>
      <c r="C13" s="14">
        <v>268</v>
      </c>
      <c r="D13" s="14">
        <v>68</v>
      </c>
      <c r="E13" s="14">
        <v>109</v>
      </c>
      <c r="F13" s="14">
        <v>52</v>
      </c>
      <c r="G13" s="14">
        <v>35</v>
      </c>
    </row>
  </sheetData>
  <pageMargins left="0.7" right="0.7" top="0.75" bottom="0.75" header="0.3" footer="0.3"/>
  <pageSetup fitToHeight="0" orientation="landscape"/>
  <headerFooter>
    <oddHeader>&amp;L&amp;"Calibri,Bold"Raw data: Raw_Product_Mix&amp;RPage &amp;P of &amp;N</oddHeader>
    <oddFooter>&amp;LJustyBase dashboard fixture&amp;RConfidential synthetic data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F7A54"/>
    <pageSetUpPr fitToPage="1"/>
  </sheetPr>
  <dimension ref="A1:H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2.7109375" customWidth="1"/>
    <col min="4" max="4" width="24.7109375" customWidth="1"/>
    <col min="5" max="5" width="21.7109375" customWidth="1"/>
    <col min="6" max="6" width="23.7109375" customWidth="1"/>
    <col min="7" max="7" width="12.7109375" customWidth="1"/>
    <col min="8" max="8" width="16.7109375" customWidth="1"/>
  </cols>
  <sheetData>
    <row r="1" spans="1:8">
      <c r="A1" t="s">
        <v>3</v>
      </c>
      <c r="B1" t="s">
        <v>4</v>
      </c>
      <c r="C1" t="s">
        <v>70</v>
      </c>
      <c r="D1" t="s">
        <v>71</v>
      </c>
      <c r="E1" t="s">
        <v>10</v>
      </c>
      <c r="F1" t="s">
        <v>72</v>
      </c>
      <c r="G1" t="s">
        <v>73</v>
      </c>
      <c r="H1" t="s">
        <v>74</v>
      </c>
    </row>
    <row r="2" spans="1:8">
      <c r="A2" s="14" t="s">
        <v>11</v>
      </c>
      <c r="B2" s="14" t="s">
        <v>12</v>
      </c>
      <c r="C2" s="17">
        <v>4820</v>
      </c>
      <c r="D2" s="17">
        <v>2940</v>
      </c>
      <c r="E2" s="16">
        <v>0.61</v>
      </c>
      <c r="F2" s="14">
        <v>1.62</v>
      </c>
      <c r="G2" s="16">
        <v>0.84</v>
      </c>
      <c r="H2" s="16">
        <v>0.43</v>
      </c>
    </row>
    <row r="3" spans="1:8">
      <c r="A3" s="14" t="s">
        <v>14</v>
      </c>
      <c r="B3" s="14" t="s">
        <v>15</v>
      </c>
      <c r="C3" s="17">
        <v>4380</v>
      </c>
      <c r="D3" s="17">
        <v>2450</v>
      </c>
      <c r="E3" s="16">
        <v>0.5590000000000001</v>
      </c>
      <c r="F3" s="14">
        <v>1.55</v>
      </c>
      <c r="G3" s="16">
        <v>0.79</v>
      </c>
      <c r="H3" s="16">
        <v>0.39</v>
      </c>
    </row>
    <row r="4" spans="1:8">
      <c r="A4" s="14" t="s">
        <v>16</v>
      </c>
      <c r="B4" s="14" t="s">
        <v>17</v>
      </c>
      <c r="C4" s="17">
        <v>4120</v>
      </c>
      <c r="D4" s="17">
        <v>2240</v>
      </c>
      <c r="E4" s="16">
        <v>0.544</v>
      </c>
      <c r="F4" s="14">
        <v>1.48</v>
      </c>
      <c r="G4" s="16">
        <v>0.76</v>
      </c>
      <c r="H4" s="16">
        <v>0.36</v>
      </c>
    </row>
    <row r="5" spans="1:8">
      <c r="A5" s="14" t="s">
        <v>22</v>
      </c>
      <c r="B5" s="14" t="s">
        <v>23</v>
      </c>
      <c r="C5" s="17">
        <v>3980</v>
      </c>
      <c r="D5" s="17">
        <v>2090</v>
      </c>
      <c r="E5" s="16">
        <v>0.525</v>
      </c>
      <c r="F5" s="14">
        <v>1.36</v>
      </c>
      <c r="G5" s="16">
        <v>0.71</v>
      </c>
      <c r="H5" s="16">
        <v>0.34</v>
      </c>
    </row>
    <row r="6" spans="1:8">
      <c r="A6" s="14" t="s">
        <v>25</v>
      </c>
      <c r="B6" s="14" t="s">
        <v>26</v>
      </c>
      <c r="C6" s="17">
        <v>3760</v>
      </c>
      <c r="D6" s="17">
        <v>1930</v>
      </c>
      <c r="E6" s="16">
        <v>0.513</v>
      </c>
      <c r="F6" s="14">
        <v>1.31</v>
      </c>
      <c r="G6" s="16">
        <v>0.68</v>
      </c>
      <c r="H6" s="16">
        <v>0.31</v>
      </c>
    </row>
    <row r="7" spans="1:8">
      <c r="A7" s="14" t="s">
        <v>19</v>
      </c>
      <c r="B7" s="14" t="s">
        <v>20</v>
      </c>
      <c r="C7" s="17">
        <v>3420</v>
      </c>
      <c r="D7" s="17">
        <v>1890</v>
      </c>
      <c r="E7" s="16">
        <v>0.553</v>
      </c>
      <c r="F7" s="14">
        <v>1.42</v>
      </c>
      <c r="G7" s="16">
        <v>0.73</v>
      </c>
      <c r="H7" s="16">
        <v>0.35</v>
      </c>
    </row>
    <row r="8" spans="1:8">
      <c r="A8" s="14" t="s">
        <v>29</v>
      </c>
      <c r="B8" s="14" t="s">
        <v>30</v>
      </c>
      <c r="C8" s="17">
        <v>3610</v>
      </c>
      <c r="D8" s="17">
        <v>1760</v>
      </c>
      <c r="E8" s="16">
        <v>0.488</v>
      </c>
      <c r="F8" s="14">
        <v>1.19</v>
      </c>
      <c r="G8" s="16">
        <v>0.64</v>
      </c>
      <c r="H8" s="16">
        <v>0.29</v>
      </c>
    </row>
    <row r="9" spans="1:8">
      <c r="A9" s="14" t="s">
        <v>27</v>
      </c>
      <c r="B9" s="14" t="s">
        <v>28</v>
      </c>
      <c r="C9" s="17">
        <v>3480</v>
      </c>
      <c r="D9" s="17">
        <v>1690</v>
      </c>
      <c r="E9" s="16">
        <v>0.486</v>
      </c>
      <c r="F9" s="14">
        <v>1.26</v>
      </c>
      <c r="G9" s="16">
        <v>0.66</v>
      </c>
      <c r="H9" s="16">
        <v>0.3</v>
      </c>
    </row>
  </sheetData>
  <conditionalFormatting sqref="C2:C9">
    <cfRule type="colorScale" priority="1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conditionalFormatting sqref="D2:D9">
    <cfRule type="colorScale" priority="2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conditionalFormatting sqref="E2:E9">
    <cfRule type="colorScale" priority="3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conditionalFormatting sqref="G2:G9">
    <cfRule type="colorScale" priority="4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conditionalFormatting sqref="H2:H9">
    <cfRule type="colorScale" priority="5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pageMargins left="0.7" right="0.7" top="0.75" bottom="0.75" header="0.3" footer="0.3"/>
  <pageSetup fitToHeight="0" orientation="landscape"/>
  <headerFooter>
    <oddHeader>&amp;L&amp;"Calibri,Bold"Raw data: Raw_CrossSell&amp;RPage &amp;P of &amp;N</oddHeader>
    <oddFooter>&amp;LJustyBase dashboard fixture&amp;RConfidential synthetic data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E8892F"/>
  </sheetPr>
  <dimension ref="A1:C16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3.7109375" customWidth="1"/>
    <col min="2" max="2" width="28.7109375" customWidth="1"/>
    <col min="3" max="3" width="70.7109375" customWidth="1"/>
  </cols>
  <sheetData>
    <row r="1" spans="1:3" ht="28" customHeight="1">
      <c r="A1" s="1" t="s">
        <v>93</v>
      </c>
      <c r="B1" s="1"/>
      <c r="C1" s="1"/>
    </row>
    <row r="3" spans="1:3">
      <c r="A3" s="18" t="s">
        <v>94</v>
      </c>
      <c r="B3" s="19" t="s">
        <v>95</v>
      </c>
      <c r="C3" s="19"/>
    </row>
    <row r="5" spans="1:3">
      <c r="A5" s="18" t="s">
        <v>96</v>
      </c>
      <c r="B5" s="18" t="s">
        <v>97</v>
      </c>
      <c r="C5" s="18" t="s">
        <v>98</v>
      </c>
    </row>
    <row r="6" spans="1:3">
      <c r="A6" s="19" t="s">
        <v>99</v>
      </c>
      <c r="B6" s="19" t="s">
        <v>100</v>
      </c>
      <c r="C6" s="19" t="s">
        <v>101</v>
      </c>
    </row>
    <row r="7" spans="1:3">
      <c r="A7" s="19" t="s">
        <v>102</v>
      </c>
      <c r="B7" s="19" t="s">
        <v>103</v>
      </c>
      <c r="C7" s="19" t="s">
        <v>104</v>
      </c>
    </row>
    <row r="8" spans="1:3">
      <c r="A8" s="19" t="s">
        <v>105</v>
      </c>
      <c r="B8" s="19" t="s">
        <v>106</v>
      </c>
      <c r="C8" s="19" t="s">
        <v>107</v>
      </c>
    </row>
    <row r="9" spans="1:3">
      <c r="A9" s="19" t="s">
        <v>108</v>
      </c>
      <c r="B9" s="19" t="s">
        <v>109</v>
      </c>
      <c r="C9" s="19" t="s">
        <v>110</v>
      </c>
    </row>
    <row r="12" spans="1:3">
      <c r="A12" s="18" t="s">
        <v>111</v>
      </c>
      <c r="B12" s="20" t="s">
        <v>112</v>
      </c>
      <c r="C12" s="20"/>
    </row>
    <row r="14" spans="1:3">
      <c r="A14" s="18" t="s">
        <v>113</v>
      </c>
      <c r="B14" s="19" t="s">
        <v>114</v>
      </c>
      <c r="C14" s="19"/>
    </row>
    <row r="15" spans="1:3">
      <c r="B15" s="19"/>
      <c r="C15" s="19"/>
    </row>
    <row r="16" spans="1:3">
      <c r="B16" s="19"/>
      <c r="C16" s="19"/>
    </row>
  </sheetData>
  <mergeCells count="4">
    <mergeCell ref="A1:C1"/>
    <mergeCell ref="B3:C3"/>
    <mergeCell ref="B12:C12"/>
    <mergeCell ref="B14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31</vt:i4>
      </vt:variant>
    </vt:vector>
  </HeadingPairs>
  <TitlesOfParts>
    <vt:vector size="37" baseType="lpstr">
      <vt:lpstr>Dashboard</vt:lpstr>
      <vt:lpstr>Raw_Branches</vt:lpstr>
      <vt:lpstr>Raw_Advisors</vt:lpstr>
      <vt:lpstr>Raw_Product_Mix</vt:lpstr>
      <vt:lpstr>Raw_CrossSell</vt:lpstr>
      <vt:lpstr>Model_Guide</vt:lpstr>
      <vt:lpstr>advisor_ranking_Advisor</vt:lpstr>
      <vt:lpstr>advisor_ranking_Advisor_ID</vt:lpstr>
      <vt:lpstr>advisor_ranking_Attainment_Rate</vt:lpstr>
      <vt:lpstr>advisor_ranking_Branch_ID</vt:lpstr>
      <vt:lpstr>advisor_ranking_Credit_Sales</vt:lpstr>
      <vt:lpstr>advisor_ranking_Credit_Volume_PLN</vt:lpstr>
      <vt:lpstr>advisor_ranking_Region</vt:lpstr>
      <vt:lpstr>advisor_ranking_ROR_Sales</vt:lpstr>
      <vt:lpstr>branch_ranking_Attainment_Rate</vt:lpstr>
      <vt:lpstr>branch_ranking_Branch</vt:lpstr>
      <vt:lpstr>branch_ranking_Branch_ID</vt:lpstr>
      <vt:lpstr>branch_ranking_Credit_Volume_PLN</vt:lpstr>
      <vt:lpstr>branch_ranking_Productization_Rate</vt:lpstr>
      <vt:lpstr>branch_ranking_Rank</vt:lpstr>
      <vt:lpstr>branch_ranking_Region</vt:lpstr>
      <vt:lpstr>branch_ranking_ROR_per_Advisor</vt:lpstr>
      <vt:lpstr>cross_sell_Branch</vt:lpstr>
      <vt:lpstr>cross_sell_Branch_ID</vt:lpstr>
      <vt:lpstr>cross_sell_Card_Rate</vt:lpstr>
      <vt:lpstr>cross_sell_Customers</vt:lpstr>
      <vt:lpstr>cross_sell_Insurance_Rate</vt:lpstr>
      <vt:lpstr>cross_sell_MultiProduct_Customers</vt:lpstr>
      <vt:lpstr>cross_sell_Productization_Rate</vt:lpstr>
      <vt:lpstr>cross_sell_Products_per_Customer</vt:lpstr>
      <vt:lpstr>product_mix_Cash_Loan</vt:lpstr>
      <vt:lpstr>product_mix_Credit_Card</vt:lpstr>
      <vt:lpstr>product_mix_Insurance</vt:lpstr>
      <vt:lpstr>product_mix_Month</vt:lpstr>
      <vt:lpstr>product_mix_Mortgage</vt:lpstr>
      <vt:lpstr>product_mix_ROR</vt:lpstr>
      <vt:lpstr>product_mix_SME_Loan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Branch and Productization Ranking</dc:title>
  <dc:subject>Refreshable synthetic banking ranking dashboard</dc:subject>
  <dc:creator>JustyBase</dc:creator>
  <dc:description>Synthetic data for documentation and tests only.</dc:description>
  <cp:lastModifiedBy>JustyBase</cp:lastModifiedBy>
  <dcterms:created xsi:type="dcterms:W3CDTF">2026-08-29T13:25:35Z</dcterms:created>
  <dcterms:modified xsi:type="dcterms:W3CDTF">2026-08-29T13:25:35Z</dcterms:modified>
</cp:coreProperties>
</file>